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ml.chartshapes+xml"/>
  <Override PartName="/xl/charts/chart17.xml" ContentType="application/vnd.openxmlformats-officedocument.drawingml.chart+xml"/>
  <Override PartName="/xl/drawings/drawing7.xml" ContentType="application/vnd.openxmlformats-officedocument.drawingml.chartshapes+xml"/>
  <Override PartName="/xl/charts/chart18.xml" ContentType="application/vnd.openxmlformats-officedocument.drawingml.chart+xml"/>
  <Override PartName="/xl/drawings/drawing8.xml" ContentType="application/vnd.openxmlformats-officedocument.drawingml.chartshape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9.xml" ContentType="application/vnd.openxmlformats-officedocument.drawingml.chartshapes+xml"/>
  <Override PartName="/xl/charts/chart23.xml" ContentType="application/vnd.openxmlformats-officedocument.drawingml.chart+xml"/>
  <Override PartName="/xl/drawings/drawing10.xml" ContentType="application/vnd.openxmlformats-officedocument.drawingml.chartshapes+xml"/>
  <Override PartName="/xl/charts/chart24.xml" ContentType="application/vnd.openxmlformats-officedocument.drawingml.chart+xml"/>
  <Override PartName="/xl/drawings/drawing11.xml" ContentType="application/vnd.openxmlformats-officedocument.drawingml.chartshape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2.xml" ContentType="application/vnd.openxmlformats-officedocument.drawingml.chartshapes+xml"/>
  <Override PartName="/xl/charts/chart29.xml" ContentType="application/vnd.openxmlformats-officedocument.drawingml.chart+xml"/>
  <Override PartName="/xl/drawings/drawing13.xml" ContentType="application/vnd.openxmlformats-officedocument.drawingml.chartshapes+xml"/>
  <Override PartName="/xl/charts/chart30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3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6.xml" ContentType="application/vnd.openxmlformats-officedocument.drawing+xml"/>
  <Override PartName="/xl/charts/chart32.xml" ContentType="application/vnd.openxmlformats-officedocument.drawingml.chart+xml"/>
  <Override PartName="/xl/drawings/drawing17.xml" ContentType="application/vnd.openxmlformats-officedocument.drawingml.chartshapes+xml"/>
  <Override PartName="/xl/charts/chart33.xml" ContentType="application/vnd.openxmlformats-officedocument.drawingml.chart+xml"/>
  <Override PartName="/xl/drawings/drawing18.xml" ContentType="application/vnd.openxmlformats-officedocument.drawingml.chartshapes+xml"/>
  <Override PartName="/xl/charts/chart34.xml" ContentType="application/vnd.openxmlformats-officedocument.drawingml.chart+xml"/>
  <Override PartName="/xl/drawings/drawing19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ck\Desktop\"/>
    </mc:Choice>
  </mc:AlternateContent>
  <xr:revisionPtr revIDLastSave="0" documentId="13_ncr:1_{0CABCE9D-1AF0-4BBA-BA86-435887217390}" xr6:coauthVersionLast="47" xr6:coauthVersionMax="47" xr10:uidLastSave="{00000000-0000-0000-0000-000000000000}"/>
  <bookViews>
    <workbookView xWindow="-108" yWindow="-108" windowWidth="23256" windowHeight="12456" firstSheet="12" activeTab="15" xr2:uid="{B12BBE7E-C0B3-4474-9CB0-5A60CECD491D}"/>
  </bookViews>
  <sheets>
    <sheet name="ORLEN" sheetId="1" r:id="rId1"/>
    <sheet name="CD PROJECT" sheetId="2" r:id="rId2"/>
    <sheet name="LPP" sheetId="3" r:id="rId3"/>
    <sheet name="Key Performance Indicator (KPI)" sheetId="4" r:id="rId4"/>
    <sheet name="Liquidity Ratios" sheetId="5" r:id="rId5"/>
    <sheet name="Debt ratios" sheetId="6" r:id="rId6"/>
    <sheet name="Efficiency" sheetId="7" r:id="rId7"/>
    <sheet name="Regression -R²" sheetId="8" r:id="rId8"/>
    <sheet name="Correlation" sheetId="9" r:id="rId9"/>
    <sheet name="Correlation Matrix" sheetId="10" r:id="rId10"/>
    <sheet name="Benchmarking" sheetId="12" r:id="rId11"/>
    <sheet name="Sector Median Comparison" sheetId="13" r:id="rId12"/>
    <sheet name="Multiple regression" sheetId="14" r:id="rId13"/>
    <sheet name="ROI Sensitivity Analysis" sheetId="15" r:id="rId14"/>
    <sheet name="Volatility analysis" sheetId="16" r:id="rId15"/>
    <sheet name="Regression – Full analysis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6" l="1"/>
  <c r="L7" i="16"/>
  <c r="L6" i="16"/>
  <c r="I22" i="16"/>
  <c r="G22" i="16"/>
  <c r="H22" i="16"/>
  <c r="F22" i="16"/>
  <c r="I14" i="16"/>
  <c r="I6" i="16"/>
  <c r="G14" i="16"/>
  <c r="H14" i="16"/>
  <c r="F14" i="16"/>
  <c r="F6" i="16"/>
  <c r="H6" i="16"/>
  <c r="G6" i="16"/>
  <c r="G5" i="16"/>
  <c r="H5" i="16"/>
  <c r="F5" i="16"/>
  <c r="P24" i="15"/>
  <c r="O22" i="15"/>
  <c r="O24" i="15"/>
  <c r="N24" i="15"/>
  <c r="M24" i="15"/>
  <c r="L24" i="15"/>
  <c r="P23" i="15"/>
  <c r="O23" i="15"/>
  <c r="N23" i="15"/>
  <c r="M23" i="15"/>
  <c r="L23" i="15"/>
  <c r="P22" i="15"/>
  <c r="N22" i="15"/>
  <c r="M22" i="15"/>
  <c r="L22" i="15"/>
  <c r="P21" i="15"/>
  <c r="O21" i="15"/>
  <c r="N21" i="15"/>
  <c r="M21" i="15"/>
  <c r="L21" i="15"/>
  <c r="P20" i="15"/>
  <c r="O20" i="15"/>
  <c r="N20" i="15"/>
  <c r="M20" i="15"/>
  <c r="L20" i="15"/>
  <c r="O16" i="15"/>
  <c r="O15" i="15"/>
  <c r="O14" i="15"/>
  <c r="P15" i="15"/>
  <c r="P14" i="15"/>
  <c r="P13" i="15"/>
  <c r="O13" i="15"/>
  <c r="P12" i="15"/>
  <c r="O12" i="15"/>
  <c r="N16" i="15"/>
  <c r="N15" i="15"/>
  <c r="N14" i="15"/>
  <c r="N13" i="15"/>
  <c r="N12" i="15"/>
  <c r="M16" i="15"/>
  <c r="M15" i="15"/>
  <c r="M14" i="15"/>
  <c r="M13" i="15"/>
  <c r="M12" i="15"/>
  <c r="P16" i="15"/>
  <c r="L16" i="15"/>
  <c r="L15" i="15"/>
  <c r="L14" i="15"/>
  <c r="L13" i="15"/>
  <c r="L12" i="15"/>
  <c r="L8" i="15"/>
  <c r="O6" i="15"/>
  <c r="P6" i="15"/>
  <c r="P5" i="15"/>
  <c r="O5" i="15"/>
  <c r="P7" i="15"/>
  <c r="O8" i="15"/>
  <c r="N8" i="15"/>
  <c r="N7" i="15"/>
  <c r="M8" i="15"/>
  <c r="M7" i="15"/>
  <c r="N5" i="15"/>
  <c r="M6" i="15"/>
  <c r="L6" i="15"/>
  <c r="P4" i="15"/>
  <c r="O4" i="15"/>
  <c r="N4" i="15"/>
  <c r="M4" i="15"/>
  <c r="L7" i="15"/>
  <c r="L5" i="15"/>
  <c r="L4" i="15"/>
  <c r="P8" i="15"/>
  <c r="M5" i="15"/>
  <c r="O7" i="15"/>
  <c r="N6" i="15"/>
  <c r="H6" i="15"/>
  <c r="H4" i="15"/>
  <c r="H5" i="15"/>
  <c r="H7" i="15"/>
  <c r="H8" i="15"/>
  <c r="H10" i="15"/>
  <c r="H11" i="15"/>
  <c r="H12" i="15"/>
  <c r="H13" i="15"/>
  <c r="H14" i="15"/>
  <c r="H15" i="15"/>
  <c r="H17" i="15"/>
  <c r="H18" i="15"/>
  <c r="H19" i="15"/>
  <c r="H20" i="15"/>
  <c r="H21" i="15"/>
  <c r="H22" i="15"/>
  <c r="H3" i="15"/>
  <c r="D22" i="15"/>
  <c r="D21" i="15"/>
  <c r="D20" i="15"/>
  <c r="D19" i="15"/>
  <c r="D18" i="15"/>
  <c r="D17" i="15"/>
  <c r="F15" i="15"/>
  <c r="E23" i="14"/>
  <c r="E22" i="14"/>
  <c r="E21" i="14"/>
  <c r="E20" i="14"/>
  <c r="E19" i="14"/>
  <c r="E18" i="14"/>
  <c r="Q41" i="13"/>
  <c r="Q37" i="13"/>
  <c r="Q38" i="13"/>
  <c r="Q39" i="13"/>
  <c r="Q40" i="13"/>
  <c r="P37" i="13"/>
  <c r="P38" i="13"/>
  <c r="P39" i="13"/>
  <c r="P40" i="13"/>
  <c r="P41" i="13"/>
  <c r="Q36" i="13"/>
  <c r="P36" i="13"/>
  <c r="O36" i="13"/>
  <c r="O37" i="13"/>
  <c r="O38" i="13"/>
  <c r="O39" i="13"/>
  <c r="O40" i="13"/>
  <c r="O41" i="13"/>
  <c r="Q31" i="13"/>
  <c r="Q29" i="13"/>
  <c r="Q30" i="13"/>
  <c r="Q32" i="13"/>
  <c r="Q33" i="13"/>
  <c r="P29" i="13"/>
  <c r="P30" i="13"/>
  <c r="P31" i="13"/>
  <c r="P32" i="13"/>
  <c r="P33" i="13"/>
  <c r="Q28" i="13"/>
  <c r="P28" i="13"/>
  <c r="O28" i="13"/>
  <c r="O29" i="13"/>
  <c r="O30" i="13"/>
  <c r="O31" i="13"/>
  <c r="O32" i="13"/>
  <c r="O33" i="13"/>
  <c r="Q24" i="13"/>
  <c r="Q21" i="13"/>
  <c r="Q22" i="13"/>
  <c r="Q23" i="13"/>
  <c r="Q25" i="13"/>
  <c r="Q20" i="13"/>
  <c r="P24" i="13"/>
  <c r="P20" i="13"/>
  <c r="P21" i="13"/>
  <c r="P22" i="13"/>
  <c r="P23" i="13"/>
  <c r="P25" i="13"/>
  <c r="O20" i="13"/>
  <c r="O21" i="13"/>
  <c r="O22" i="13"/>
  <c r="O23" i="13"/>
  <c r="O24" i="13"/>
  <c r="O25" i="13"/>
  <c r="Q13" i="13"/>
  <c r="Q14" i="13"/>
  <c r="Q15" i="13"/>
  <c r="Q16" i="13"/>
  <c r="Q17" i="13"/>
  <c r="Q12" i="13"/>
  <c r="P13" i="13"/>
  <c r="P14" i="13"/>
  <c r="P15" i="13"/>
  <c r="P16" i="13"/>
  <c r="P17" i="13"/>
  <c r="P12" i="13"/>
  <c r="O13" i="13"/>
  <c r="O14" i="13"/>
  <c r="O15" i="13"/>
  <c r="O16" i="13"/>
  <c r="O17" i="13"/>
  <c r="O12" i="13"/>
  <c r="Q5" i="13"/>
  <c r="Q6" i="13"/>
  <c r="Q7" i="13"/>
  <c r="Q8" i="13"/>
  <c r="Q9" i="13"/>
  <c r="Q4" i="13"/>
  <c r="P5" i="13"/>
  <c r="P6" i="13"/>
  <c r="P7" i="13"/>
  <c r="P8" i="13"/>
  <c r="P9" i="13"/>
  <c r="P4" i="13"/>
  <c r="O5" i="13"/>
  <c r="O6" i="13"/>
  <c r="O7" i="13"/>
  <c r="O8" i="13"/>
  <c r="O9" i="13"/>
  <c r="O4" i="13"/>
  <c r="N37" i="13"/>
  <c r="N38" i="13"/>
  <c r="N39" i="13"/>
  <c r="N40" i="13"/>
  <c r="N41" i="13"/>
  <c r="N36" i="13"/>
  <c r="N29" i="13"/>
  <c r="N30" i="13"/>
  <c r="N31" i="13"/>
  <c r="N32" i="13"/>
  <c r="N33" i="13"/>
  <c r="N28" i="13"/>
  <c r="N21" i="13"/>
  <c r="N22" i="13"/>
  <c r="N23" i="13"/>
  <c r="N24" i="13"/>
  <c r="N25" i="13"/>
  <c r="N20" i="13"/>
  <c r="N13" i="13"/>
  <c r="N14" i="13"/>
  <c r="N15" i="13"/>
  <c r="N16" i="13"/>
  <c r="N17" i="13"/>
  <c r="N12" i="13"/>
  <c r="Q35" i="13"/>
  <c r="P35" i="13"/>
  <c r="O35" i="13"/>
  <c r="Q27" i="13"/>
  <c r="P27" i="13"/>
  <c r="O27" i="13"/>
  <c r="Q19" i="13"/>
  <c r="P19" i="13"/>
  <c r="O19" i="13"/>
  <c r="Q11" i="13"/>
  <c r="P11" i="13"/>
  <c r="O11" i="13"/>
  <c r="L33" i="13"/>
  <c r="L25" i="13"/>
  <c r="N5" i="13"/>
  <c r="N6" i="13"/>
  <c r="N7" i="13"/>
  <c r="N8" i="13"/>
  <c r="N9" i="13"/>
  <c r="N4" i="13"/>
  <c r="P3" i="13"/>
  <c r="Q3" i="13"/>
  <c r="O3" i="13"/>
  <c r="M9" i="13"/>
  <c r="M8" i="13"/>
  <c r="M7" i="13"/>
  <c r="M6" i="13"/>
  <c r="M5" i="13"/>
  <c r="M4" i="13"/>
  <c r="D24" i="13"/>
  <c r="D23" i="13"/>
  <c r="D22" i="13"/>
  <c r="D21" i="13"/>
  <c r="D20" i="13"/>
  <c r="D19" i="13"/>
  <c r="G17" i="13"/>
  <c r="F17" i="13"/>
  <c r="O11" i="12"/>
  <c r="O12" i="12"/>
  <c r="O13" i="12"/>
  <c r="O14" i="12"/>
  <c r="O15" i="12"/>
  <c r="O16" i="12"/>
  <c r="N11" i="12"/>
  <c r="N12" i="12"/>
  <c r="N13" i="12"/>
  <c r="N14" i="12"/>
  <c r="N15" i="12"/>
  <c r="N16" i="12"/>
  <c r="M18" i="12"/>
  <c r="M19" i="12"/>
  <c r="M20" i="12"/>
  <c r="M21" i="12"/>
  <c r="M22" i="12"/>
  <c r="M23" i="12"/>
  <c r="M11" i="12"/>
  <c r="M12" i="12"/>
  <c r="M13" i="12"/>
  <c r="M14" i="12"/>
  <c r="M15" i="12"/>
  <c r="M16" i="12"/>
  <c r="L3" i="12"/>
  <c r="L17" i="12"/>
  <c r="M17" i="12"/>
  <c r="N17" i="12"/>
  <c r="O17" i="12"/>
  <c r="L10" i="12"/>
  <c r="M10" i="12"/>
  <c r="N10" i="12"/>
  <c r="O10" i="12"/>
  <c r="K17" i="12"/>
  <c r="K10" i="12"/>
  <c r="M3" i="12"/>
  <c r="N3" i="12"/>
  <c r="O3" i="12"/>
  <c r="K3" i="12"/>
  <c r="K19" i="12"/>
  <c r="L19" i="12"/>
  <c r="N19" i="12"/>
  <c r="O19" i="12"/>
  <c r="K20" i="12"/>
  <c r="L20" i="12"/>
  <c r="N20" i="12"/>
  <c r="O20" i="12"/>
  <c r="K21" i="12"/>
  <c r="L21" i="12"/>
  <c r="N21" i="12"/>
  <c r="O21" i="12"/>
  <c r="K22" i="12"/>
  <c r="L22" i="12"/>
  <c r="N22" i="12"/>
  <c r="O22" i="12"/>
  <c r="K23" i="12"/>
  <c r="L23" i="12"/>
  <c r="N23" i="12"/>
  <c r="O23" i="12"/>
  <c r="O18" i="12"/>
  <c r="N18" i="12"/>
  <c r="L18" i="12"/>
  <c r="K18" i="12"/>
  <c r="K12" i="12"/>
  <c r="L12" i="12"/>
  <c r="K13" i="12"/>
  <c r="L13" i="12"/>
  <c r="K14" i="12"/>
  <c r="L14" i="12"/>
  <c r="K15" i="12"/>
  <c r="L15" i="12"/>
  <c r="K16" i="12"/>
  <c r="L16" i="12"/>
  <c r="L11" i="12"/>
  <c r="K11" i="12"/>
  <c r="N6" i="12"/>
  <c r="M6" i="12"/>
  <c r="L9" i="12"/>
  <c r="L5" i="12"/>
  <c r="M5" i="12"/>
  <c r="N5" i="12"/>
  <c r="O5" i="12"/>
  <c r="L6" i="12"/>
  <c r="O6" i="12"/>
  <c r="L7" i="12"/>
  <c r="M7" i="12"/>
  <c r="N7" i="12"/>
  <c r="O7" i="12"/>
  <c r="L8" i="12"/>
  <c r="M8" i="12"/>
  <c r="N8" i="12"/>
  <c r="O8" i="12"/>
  <c r="M9" i="12"/>
  <c r="N9" i="12"/>
  <c r="O9" i="12"/>
  <c r="O4" i="12"/>
  <c r="N4" i="12"/>
  <c r="M4" i="12"/>
  <c r="L4" i="12"/>
  <c r="K4" i="12"/>
  <c r="K9" i="12"/>
  <c r="K5" i="12"/>
  <c r="K6" i="12"/>
  <c r="K7" i="12"/>
  <c r="K8" i="12"/>
  <c r="G16" i="12"/>
  <c r="F16" i="12"/>
  <c r="D23" i="12"/>
  <c r="D22" i="12"/>
  <c r="D21" i="12"/>
  <c r="D20" i="12"/>
  <c r="D19" i="12"/>
  <c r="D18" i="12"/>
  <c r="C23" i="11"/>
  <c r="C22" i="11"/>
  <c r="C21" i="11"/>
  <c r="C20" i="11"/>
  <c r="C19" i="11"/>
  <c r="C18" i="11"/>
  <c r="D24" i="8" l="1"/>
  <c r="D23" i="8"/>
  <c r="D22" i="8"/>
  <c r="D21" i="8"/>
  <c r="D20" i="8"/>
  <c r="D19" i="8"/>
  <c r="M11" i="7"/>
  <c r="N11" i="7"/>
  <c r="O11" i="7"/>
  <c r="P11" i="7"/>
  <c r="Q11" i="7"/>
  <c r="L11" i="7"/>
  <c r="M9" i="7"/>
  <c r="N9" i="7"/>
  <c r="O9" i="7"/>
  <c r="P9" i="7"/>
  <c r="Q9" i="7"/>
  <c r="L9" i="7"/>
  <c r="M7" i="7"/>
  <c r="N7" i="7"/>
  <c r="O7" i="7"/>
  <c r="P7" i="7"/>
  <c r="Q7" i="7"/>
  <c r="L7" i="7"/>
  <c r="L7" i="6"/>
  <c r="M7" i="6"/>
  <c r="N7" i="6"/>
  <c r="O7" i="6"/>
  <c r="P7" i="6"/>
  <c r="Q7" i="6"/>
  <c r="L9" i="6"/>
  <c r="M9" i="6"/>
  <c r="N9" i="6"/>
  <c r="O9" i="6"/>
  <c r="P9" i="6"/>
  <c r="Q9" i="6"/>
  <c r="L10" i="6"/>
  <c r="M10" i="6"/>
  <c r="N10" i="6"/>
  <c r="O10" i="6"/>
  <c r="P10" i="6"/>
  <c r="Q10" i="6"/>
  <c r="L12" i="6"/>
  <c r="M12" i="6"/>
  <c r="N12" i="6"/>
  <c r="O12" i="6"/>
  <c r="P12" i="6"/>
  <c r="Q12" i="6"/>
  <c r="L13" i="6"/>
  <c r="M13" i="6"/>
  <c r="N13" i="6"/>
  <c r="O13" i="6"/>
  <c r="P13" i="6"/>
  <c r="Q13" i="6"/>
  <c r="L6" i="6"/>
  <c r="M6" i="6"/>
  <c r="N6" i="6"/>
  <c r="O6" i="6"/>
  <c r="P6" i="6"/>
  <c r="Q6" i="6"/>
  <c r="H7" i="7"/>
  <c r="G7" i="7"/>
  <c r="F7" i="7"/>
  <c r="E7" i="7"/>
  <c r="D7" i="7"/>
  <c r="C7" i="7"/>
  <c r="C28" i="6"/>
  <c r="G19" i="6"/>
  <c r="H5" i="2" l="1"/>
  <c r="G5" i="2"/>
  <c r="F5" i="2"/>
  <c r="E5" i="2"/>
  <c r="D5" i="2"/>
  <c r="C5" i="2"/>
  <c r="M13" i="5"/>
  <c r="N13" i="5"/>
  <c r="O13" i="5"/>
  <c r="P13" i="5"/>
  <c r="Q13" i="5"/>
  <c r="L13" i="5"/>
  <c r="L10" i="5"/>
  <c r="M10" i="5"/>
  <c r="N10" i="5"/>
  <c r="O10" i="5"/>
  <c r="P10" i="5"/>
  <c r="Q10" i="5"/>
  <c r="M7" i="5"/>
  <c r="N7" i="5"/>
  <c r="O7" i="5"/>
  <c r="P7" i="5"/>
  <c r="Q7" i="5"/>
  <c r="L7" i="5"/>
  <c r="M12" i="5"/>
  <c r="N12" i="5"/>
  <c r="O12" i="5"/>
  <c r="P12" i="5"/>
  <c r="Q12" i="5"/>
  <c r="L12" i="5"/>
  <c r="M9" i="5"/>
  <c r="N9" i="5"/>
  <c r="O9" i="5"/>
  <c r="P9" i="5"/>
  <c r="Q9" i="5"/>
  <c r="L9" i="5"/>
  <c r="P6" i="5"/>
  <c r="M6" i="5"/>
  <c r="N6" i="5"/>
  <c r="O6" i="5"/>
  <c r="Q6" i="5"/>
  <c r="L6" i="5"/>
  <c r="C4" i="5" l="1"/>
  <c r="D4" i="5"/>
  <c r="H7" i="4"/>
  <c r="S30" i="4" s="1"/>
  <c r="G7" i="4"/>
  <c r="R30" i="4" s="1"/>
  <c r="F7" i="4"/>
  <c r="P31" i="4" s="1"/>
  <c r="E7" i="4"/>
  <c r="D7" i="4"/>
  <c r="O31" i="4" s="1"/>
  <c r="C7" i="4"/>
  <c r="O35" i="4" s="1"/>
  <c r="O25" i="4"/>
  <c r="P25" i="4"/>
  <c r="Q25" i="4"/>
  <c r="R25" i="4"/>
  <c r="S25" i="4"/>
  <c r="N25" i="4"/>
  <c r="N15" i="4"/>
  <c r="O15" i="4"/>
  <c r="P15" i="4"/>
  <c r="Q15" i="4"/>
  <c r="R15" i="4"/>
  <c r="S15" i="4"/>
  <c r="N34" i="4"/>
  <c r="N14" i="4"/>
  <c r="N23" i="4"/>
  <c r="N13" i="4"/>
  <c r="R32" i="4"/>
  <c r="O32" i="4"/>
  <c r="P32" i="4"/>
  <c r="Q32" i="4"/>
  <c r="O22" i="4"/>
  <c r="P22" i="4"/>
  <c r="Q22" i="4"/>
  <c r="N22" i="4"/>
  <c r="R12" i="4"/>
  <c r="N12" i="4"/>
  <c r="O12" i="4"/>
  <c r="P12" i="4"/>
  <c r="Q12" i="4"/>
  <c r="N32" i="4"/>
  <c r="N21" i="4"/>
  <c r="O21" i="4"/>
  <c r="R31" i="4"/>
  <c r="P21" i="4"/>
  <c r="Q21" i="4"/>
  <c r="R21" i="4"/>
  <c r="N11" i="4"/>
  <c r="O11" i="4"/>
  <c r="P11" i="4"/>
  <c r="Q11" i="4"/>
  <c r="R11" i="4"/>
  <c r="O20" i="4"/>
  <c r="P20" i="4"/>
  <c r="Q20" i="4"/>
  <c r="R20" i="4"/>
  <c r="N20" i="4"/>
  <c r="O10" i="4"/>
  <c r="P10" i="4"/>
  <c r="Q10" i="4"/>
  <c r="R10" i="4"/>
  <c r="S10" i="4"/>
  <c r="N10" i="4"/>
  <c r="O29" i="4"/>
  <c r="P29" i="4"/>
  <c r="Q29" i="4"/>
  <c r="R29" i="4"/>
  <c r="S29" i="4"/>
  <c r="N29" i="4"/>
  <c r="O19" i="4"/>
  <c r="P19" i="4"/>
  <c r="Q19" i="4"/>
  <c r="R19" i="4"/>
  <c r="N19" i="4"/>
  <c r="O9" i="4"/>
  <c r="P9" i="4"/>
  <c r="Q9" i="4"/>
  <c r="R9" i="4"/>
  <c r="S9" i="4"/>
  <c r="N9" i="4"/>
  <c r="O28" i="4"/>
  <c r="P28" i="4"/>
  <c r="R28" i="4"/>
  <c r="S28" i="4"/>
  <c r="N18" i="4"/>
  <c r="O18" i="4"/>
  <c r="P18" i="4"/>
  <c r="Q18" i="4"/>
  <c r="R18" i="4"/>
  <c r="O8" i="4"/>
  <c r="P8" i="4"/>
  <c r="Q8" i="4"/>
  <c r="R8" i="4"/>
  <c r="S8" i="4"/>
  <c r="N8" i="4"/>
  <c r="P27" i="4"/>
  <c r="Q27" i="4"/>
  <c r="R27" i="4"/>
  <c r="S27" i="4"/>
  <c r="O17" i="4"/>
  <c r="P17" i="4"/>
  <c r="Q17" i="4"/>
  <c r="R17" i="4"/>
  <c r="N17" i="4"/>
  <c r="N7" i="4"/>
  <c r="S7" i="4"/>
  <c r="R7" i="4"/>
  <c r="Q7" i="4"/>
  <c r="P7" i="4"/>
  <c r="O7" i="4"/>
  <c r="H24" i="4"/>
  <c r="S17" i="4" s="1"/>
  <c r="H18" i="4"/>
  <c r="S20" i="4" s="1"/>
  <c r="H17" i="1"/>
  <c r="H13" i="1"/>
  <c r="Q30" i="4" l="1"/>
  <c r="O30" i="4"/>
  <c r="Q31" i="4"/>
  <c r="O27" i="4"/>
  <c r="N28" i="4"/>
  <c r="Q28" i="4"/>
  <c r="P30" i="4"/>
  <c r="N30" i="4"/>
  <c r="R35" i="4"/>
  <c r="Q35" i="4"/>
  <c r="P35" i="4"/>
  <c r="N35" i="4"/>
  <c r="N27" i="4"/>
  <c r="N33" i="4"/>
  <c r="S35" i="4"/>
  <c r="N31" i="4"/>
  <c r="N24" i="4"/>
  <c r="S18" i="4"/>
  <c r="S19" i="4"/>
  <c r="R22" i="4"/>
</calcChain>
</file>

<file path=xl/sharedStrings.xml><?xml version="1.0" encoding="utf-8"?>
<sst xmlns="http://schemas.openxmlformats.org/spreadsheetml/2006/main" count="607" uniqueCount="83">
  <si>
    <t>ORLEN</t>
  </si>
  <si>
    <t>Sales revenue</t>
  </si>
  <si>
    <t>Operating Expenses</t>
  </si>
  <si>
    <t>Gross Profit</t>
  </si>
  <si>
    <t>Net Profit</t>
  </si>
  <si>
    <t>Balance</t>
  </si>
  <si>
    <t>Total Assets</t>
  </si>
  <si>
    <t>Equity</t>
  </si>
  <si>
    <t>Liabilities</t>
  </si>
  <si>
    <t>Inventory</t>
  </si>
  <si>
    <t>Income statement</t>
  </si>
  <si>
    <t>CD PROJECT</t>
  </si>
  <si>
    <t>LPP</t>
  </si>
  <si>
    <t>[mln. Pln]</t>
  </si>
  <si>
    <t xml:space="preserve"> </t>
  </si>
  <si>
    <t>Orlen</t>
  </si>
  <si>
    <t>CD Project</t>
  </si>
  <si>
    <t>Company</t>
  </si>
  <si>
    <t>Year</t>
  </si>
  <si>
    <t>ROS</t>
  </si>
  <si>
    <t>ROE</t>
  </si>
  <si>
    <t>ROA</t>
  </si>
  <si>
    <t>Gross margin</t>
  </si>
  <si>
    <t>Revenue growth YoY</t>
  </si>
  <si>
    <t>Profit growth YoY</t>
  </si>
  <si>
    <t>Revenue CAGR</t>
  </si>
  <si>
    <t>Net Profit CAGR</t>
  </si>
  <si>
    <t>Index</t>
  </si>
  <si>
    <t>Current Assets</t>
  </si>
  <si>
    <t>Current Liabilities</t>
  </si>
  <si>
    <t>Current Ratio</t>
  </si>
  <si>
    <t>Quick Ratio</t>
  </si>
  <si>
    <t>Total liabilities</t>
  </si>
  <si>
    <t>EBIT</t>
  </si>
  <si>
    <t>Interest expenses</t>
  </si>
  <si>
    <t>Debt-to-Equity Ratio</t>
  </si>
  <si>
    <t>Interest Coverage Ratio</t>
  </si>
  <si>
    <t>Asset Turnover</t>
  </si>
  <si>
    <t>Debt-to-Equity</t>
  </si>
  <si>
    <t>Pearson Correlation Matrix – LPP</t>
  </si>
  <si>
    <t>Pearson Correlation Matrix – Orlen</t>
  </si>
  <si>
    <t>Pearson Correlation Matrix – CD Project</t>
  </si>
  <si>
    <t>df</t>
  </si>
  <si>
    <t>SS</t>
  </si>
  <si>
    <t>MS</t>
  </si>
  <si>
    <t>F</t>
  </si>
  <si>
    <t>t Stat</t>
  </si>
  <si>
    <t>Operating expenses</t>
  </si>
  <si>
    <t>Gross profit</t>
  </si>
  <si>
    <t>Net profit</t>
  </si>
  <si>
    <t>Sales revenue index</t>
  </si>
  <si>
    <t>INDEXES</t>
  </si>
  <si>
    <t>Median</t>
  </si>
  <si>
    <t>Wskaźnik</t>
  </si>
  <si>
    <t>CD Projekt</t>
  </si>
  <si>
    <t>Total assets</t>
  </si>
  <si>
    <t>ROI</t>
  </si>
  <si>
    <t>operating expenses</t>
  </si>
  <si>
    <t>sales revenue</t>
  </si>
  <si>
    <t>Average Standard Deviation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</si>
  <si>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</si>
  <si>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</si>
  <si>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</si>
  <si>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</si>
  <si>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</si>
  <si>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</si>
  <si>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</si>
  <si>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</si>
  <si>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Significance F</t>
  </si>
  <si>
    <t>Regression</t>
  </si>
  <si>
    <t>Residual</t>
  </si>
  <si>
    <t>Total</t>
  </si>
  <si>
    <t>Coefficients</t>
  </si>
  <si>
    <t>P-value</t>
  </si>
  <si>
    <t>Lower 95%</t>
  </si>
  <si>
    <t>Upper 95%</t>
  </si>
  <si>
    <t>Lower 95.0%</t>
  </si>
  <si>
    <t>Upper 95.0%</t>
  </si>
  <si>
    <t>Intercept</t>
  </si>
  <si>
    <t>Residuals</t>
  </si>
  <si>
    <t>RESIDUAL OUTPUT</t>
  </si>
  <si>
    <t>Observation</t>
  </si>
  <si>
    <t>Predicted 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</si>
</sst>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238"/>
      <scheme val="minor"/>
    </font>
    <font>
      <sz val="10"/>
      <name val="MS Sans Serif"/>
      <family val="2"/>
      <charset val="238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238"/>
    </font>
    <font>
      <i/>
      <sz val="11"/>
      <color theme="1"/>
      <name val="Aptos Narrow"/>
      <family val="2"/>
      <charset val="238"/>
      <scheme val="minor"/>
    </font>
    <font>
      <sz val="20"/>
      <color theme="1"/>
      <name val="Aptos Narrow"/>
      <family val="2"/>
      <charset val="238"/>
      <scheme val="minor"/>
    </font>
    <font>
      <sz val="20"/>
      <color theme="1"/>
      <name val="Aptos Narrow"/>
      <family val="2"/>
      <scheme val="minor"/>
    </font>
    <font>
      <sz val="28"/>
      <color theme="1"/>
      <name val="Aptos Narrow"/>
      <family val="2"/>
      <charset val="238"/>
      <scheme val="minor"/>
    </font>
    <font>
      <sz val="72"/>
      <color theme="1"/>
      <name val="Aptos Narrow"/>
      <family val="2"/>
      <scheme val="minor"/>
    </font>
    <font>
      <b/>
      <sz val="13.5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EE6C"/>
        <bgColor indexed="64"/>
      </patternFill>
    </fill>
    <fill>
      <patternFill patternType="solid">
        <fgColor rgb="FF00D6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5" fillId="0" borderId="0"/>
  </cellStyleXfs>
  <cellXfs count="2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3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4" fillId="0" borderId="0" xfId="0" applyNumberFormat="1" applyFont="1"/>
    <xf numFmtId="0" fontId="3" fillId="0" borderId="0" xfId="0" applyFont="1" applyAlignment="1">
      <alignment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4" xfId="0" applyFill="1" applyBorder="1"/>
    <xf numFmtId="0" fontId="0" fillId="11" borderId="6" xfId="0" applyFill="1" applyBorder="1"/>
    <xf numFmtId="0" fontId="0" fillId="0" borderId="11" xfId="0" applyBorder="1"/>
    <xf numFmtId="0" fontId="0" fillId="6" borderId="14" xfId="0" applyFill="1" applyBorder="1"/>
    <xf numFmtId="0" fontId="0" fillId="7" borderId="14" xfId="0" applyFill="1" applyBorder="1"/>
    <xf numFmtId="0" fontId="0" fillId="8" borderId="14" xfId="0" applyFill="1" applyBorder="1"/>
    <xf numFmtId="0" fontId="0" fillId="9" borderId="14" xfId="0" applyFill="1" applyBorder="1"/>
    <xf numFmtId="0" fontId="0" fillId="5" borderId="14" xfId="0" applyFill="1" applyBorder="1"/>
    <xf numFmtId="0" fontId="0" fillId="10" borderId="15" xfId="0" applyFill="1" applyBorder="1"/>
    <xf numFmtId="9" fontId="0" fillId="0" borderId="3" xfId="2" applyFont="1" applyBorder="1"/>
    <xf numFmtId="9" fontId="0" fillId="0" borderId="4" xfId="2" applyFont="1" applyBorder="1"/>
    <xf numFmtId="9" fontId="0" fillId="0" borderId="0" xfId="2" applyFont="1" applyBorder="1"/>
    <xf numFmtId="9" fontId="0" fillId="0" borderId="6" xfId="2" applyFont="1" applyBorder="1"/>
    <xf numFmtId="9" fontId="0" fillId="13" borderId="3" xfId="2" applyFont="1" applyFill="1" applyBorder="1"/>
    <xf numFmtId="9" fontId="0" fillId="13" borderId="4" xfId="2" applyFont="1" applyFill="1" applyBorder="1"/>
    <xf numFmtId="0" fontId="0" fillId="11" borderId="10" xfId="0" applyFill="1" applyBorder="1"/>
    <xf numFmtId="9" fontId="0" fillId="0" borderId="2" xfId="2" applyFont="1" applyBorder="1"/>
    <xf numFmtId="9" fontId="0" fillId="0" borderId="5" xfId="2" applyFont="1" applyBorder="1"/>
    <xf numFmtId="9" fontId="0" fillId="0" borderId="0" xfId="2" applyFont="1" applyFill="1" applyBorder="1"/>
    <xf numFmtId="9" fontId="0" fillId="0" borderId="7" xfId="2" applyFont="1" applyBorder="1" applyAlignment="1"/>
    <xf numFmtId="9" fontId="0" fillId="0" borderId="8" xfId="2" applyFont="1" applyBorder="1" applyAlignment="1"/>
    <xf numFmtId="9" fontId="0" fillId="0" borderId="9" xfId="2" applyFont="1" applyBorder="1" applyAlignment="1"/>
    <xf numFmtId="9" fontId="0" fillId="0" borderId="0" xfId="2" applyFont="1" applyBorder="1" applyAlignment="1"/>
    <xf numFmtId="9" fontId="0" fillId="0" borderId="5" xfId="2" applyFont="1" applyBorder="1" applyAlignment="1"/>
    <xf numFmtId="9" fontId="0" fillId="0" borderId="6" xfId="2" applyFont="1" applyBorder="1" applyAlignment="1"/>
    <xf numFmtId="9" fontId="0" fillId="12" borderId="13" xfId="2" applyFont="1" applyFill="1" applyBorder="1"/>
    <xf numFmtId="9" fontId="0" fillId="12" borderId="14" xfId="2" applyFont="1" applyFill="1" applyBorder="1"/>
    <xf numFmtId="9" fontId="0" fillId="12" borderId="15" xfId="2" applyFont="1" applyFill="1" applyBorder="1"/>
    <xf numFmtId="0" fontId="0" fillId="12" borderId="13" xfId="0" applyFill="1" applyBorder="1"/>
    <xf numFmtId="0" fontId="0" fillId="13" borderId="13" xfId="0" applyFill="1" applyBorder="1"/>
    <xf numFmtId="9" fontId="0" fillId="13" borderId="2" xfId="2" applyFont="1" applyFill="1" applyBorder="1"/>
    <xf numFmtId="2" fontId="0" fillId="0" borderId="0" xfId="0" applyNumberFormat="1"/>
    <xf numFmtId="1" fontId="0" fillId="0" borderId="0" xfId="0" applyNumberFormat="1"/>
    <xf numFmtId="9" fontId="0" fillId="0" borderId="0" xfId="2" applyFont="1" applyFill="1" applyBorder="1" applyAlignment="1"/>
    <xf numFmtId="2" fontId="0" fillId="0" borderId="2" xfId="2" applyNumberFormat="1" applyFont="1" applyBorder="1"/>
    <xf numFmtId="2" fontId="0" fillId="0" borderId="0" xfId="2" applyNumberFormat="1" applyFont="1" applyBorder="1"/>
    <xf numFmtId="2" fontId="0" fillId="0" borderId="6" xfId="2" applyNumberFormat="1" applyFont="1" applyBorder="1"/>
    <xf numFmtId="2" fontId="0" fillId="0" borderId="5" xfId="2" applyNumberFormat="1" applyFont="1" applyBorder="1"/>
    <xf numFmtId="2" fontId="0" fillId="0" borderId="5" xfId="2" applyNumberFormat="1" applyFont="1" applyBorder="1" applyAlignment="1"/>
    <xf numFmtId="2" fontId="0" fillId="0" borderId="0" xfId="2" applyNumberFormat="1" applyFont="1" applyBorder="1" applyAlignment="1"/>
    <xf numFmtId="2" fontId="0" fillId="0" borderId="6" xfId="2" applyNumberFormat="1" applyFont="1" applyBorder="1" applyAlignment="1"/>
    <xf numFmtId="2" fontId="0" fillId="0" borderId="7" xfId="2" applyNumberFormat="1" applyFont="1" applyBorder="1" applyAlignment="1"/>
    <xf numFmtId="2" fontId="0" fillId="0" borderId="8" xfId="2" applyNumberFormat="1" applyFont="1" applyBorder="1" applyAlignment="1"/>
    <xf numFmtId="2" fontId="0" fillId="0" borderId="9" xfId="2" applyNumberFormat="1" applyFont="1" applyBorder="1" applyAlignment="1"/>
    <xf numFmtId="2" fontId="0" fillId="0" borderId="3" xfId="2" applyNumberFormat="1" applyFont="1" applyBorder="1"/>
    <xf numFmtId="2" fontId="0" fillId="0" borderId="4" xfId="2" applyNumberFormat="1" applyFont="1" applyBorder="1"/>
    <xf numFmtId="2" fontId="0" fillId="14" borderId="5" xfId="2" applyNumberFormat="1" applyFont="1" applyFill="1" applyBorder="1"/>
    <xf numFmtId="2" fontId="0" fillId="14" borderId="0" xfId="2" applyNumberFormat="1" applyFont="1" applyFill="1" applyBorder="1"/>
    <xf numFmtId="2" fontId="0" fillId="14" borderId="6" xfId="2" applyNumberFormat="1" applyFont="1" applyFill="1" applyBorder="1"/>
    <xf numFmtId="0" fontId="0" fillId="14" borderId="0" xfId="0" applyFill="1"/>
    <xf numFmtId="0" fontId="0" fillId="14" borderId="6" xfId="0" applyFill="1" applyBorder="1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0" borderId="12" xfId="0" applyFont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4" fillId="0" borderId="0" xfId="0" applyFont="1"/>
    <xf numFmtId="0" fontId="0" fillId="11" borderId="1" xfId="0" applyFill="1" applyBorder="1"/>
    <xf numFmtId="2" fontId="0" fillId="0" borderId="1" xfId="2" applyNumberFormat="1" applyFont="1" applyBorder="1"/>
    <xf numFmtId="2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5" borderId="0" xfId="0" applyFill="1"/>
    <xf numFmtId="0" fontId="0" fillId="15" borderId="6" xfId="0" applyFill="1" applyBorder="1"/>
    <xf numFmtId="0" fontId="6" fillId="15" borderId="17" xfId="0" applyFont="1" applyFill="1" applyBorder="1" applyAlignment="1">
      <alignment horizontal="centerContinuous"/>
    </xf>
    <xf numFmtId="0" fontId="0" fillId="15" borderId="19" xfId="0" applyFill="1" applyBorder="1"/>
    <xf numFmtId="0" fontId="0" fillId="15" borderId="16" xfId="0" applyFill="1" applyBorder="1"/>
    <xf numFmtId="0" fontId="6" fillId="15" borderId="18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0" fontId="0" fillId="15" borderId="7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6" borderId="0" xfId="0" applyFill="1"/>
    <xf numFmtId="0" fontId="6" fillId="16" borderId="17" xfId="0" applyFont="1" applyFill="1" applyBorder="1" applyAlignment="1">
      <alignment horizontal="centerContinuous"/>
    </xf>
    <xf numFmtId="0" fontId="0" fillId="16" borderId="16" xfId="0" applyFill="1" applyBorder="1"/>
    <xf numFmtId="0" fontId="6" fillId="16" borderId="17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Continuous"/>
    </xf>
    <xf numFmtId="0" fontId="0" fillId="17" borderId="0" xfId="0" applyFill="1"/>
    <xf numFmtId="0" fontId="0" fillId="17" borderId="16" xfId="0" applyFill="1" applyBorder="1"/>
    <xf numFmtId="0" fontId="6" fillId="17" borderId="17" xfId="0" applyFont="1" applyFill="1" applyBorder="1" applyAlignment="1">
      <alignment horizontal="center"/>
    </xf>
    <xf numFmtId="0" fontId="0" fillId="17" borderId="2" xfId="0" applyFill="1" applyBorder="1"/>
    <xf numFmtId="0" fontId="0" fillId="17" borderId="3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19" xfId="0" applyFill="1" applyBorder="1"/>
    <xf numFmtId="0" fontId="6" fillId="17" borderId="18" xfId="0" applyFont="1" applyFill="1" applyBorder="1" applyAlignment="1">
      <alignment horizontal="center"/>
    </xf>
    <xf numFmtId="0" fontId="0" fillId="17" borderId="7" xfId="0" applyFill="1" applyBorder="1"/>
    <xf numFmtId="0" fontId="0" fillId="17" borderId="8" xfId="0" applyFill="1" applyBorder="1"/>
    <xf numFmtId="0" fontId="0" fillId="17" borderId="9" xfId="0" applyFill="1" applyBorder="1"/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0" fillId="16" borderId="5" xfId="0" applyFill="1" applyBorder="1"/>
    <xf numFmtId="0" fontId="0" fillId="16" borderId="6" xfId="0" applyFill="1" applyBorder="1"/>
    <xf numFmtId="0" fontId="0" fillId="16" borderId="19" xfId="0" applyFill="1" applyBorder="1"/>
    <xf numFmtId="0" fontId="6" fillId="16" borderId="18" xfId="0" applyFont="1" applyFill="1" applyBorder="1" applyAlignment="1">
      <alignment horizontal="center"/>
    </xf>
    <xf numFmtId="0" fontId="0" fillId="16" borderId="7" xfId="0" applyFill="1" applyBorder="1"/>
    <xf numFmtId="0" fontId="0" fillId="16" borderId="8" xfId="0" applyFill="1" applyBorder="1"/>
    <xf numFmtId="0" fontId="0" fillId="16" borderId="9" xfId="0" applyFill="1" applyBorder="1"/>
    <xf numFmtId="3" fontId="0" fillId="0" borderId="1" xfId="0" applyNumberFormat="1" applyBorder="1"/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0" fontId="0" fillId="11" borderId="15" xfId="0" applyFill="1" applyBorder="1"/>
    <xf numFmtId="1" fontId="0" fillId="11" borderId="15" xfId="0" applyNumberFormat="1" applyFill="1" applyBorder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1" fontId="0" fillId="13" borderId="0" xfId="0" applyNumberFormat="1" applyFill="1" applyAlignment="1">
      <alignment horizontal="center" vertical="center"/>
    </xf>
    <xf numFmtId="9" fontId="0" fillId="0" borderId="0" xfId="2" applyFont="1"/>
    <xf numFmtId="2" fontId="0" fillId="0" borderId="0" xfId="2" applyNumberFormat="1" applyFont="1"/>
    <xf numFmtId="9" fontId="0" fillId="0" borderId="0" xfId="0" applyNumberFormat="1"/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 wrapText="1"/>
    </xf>
    <xf numFmtId="9" fontId="0" fillId="0" borderId="0" xfId="2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7" xfId="0" applyFont="1" applyFill="1" applyBorder="1" applyAlignment="1">
      <alignment horizontal="centerContinuous"/>
    </xf>
    <xf numFmtId="0" fontId="0" fillId="3" borderId="19" xfId="0" applyFill="1" applyBorder="1"/>
    <xf numFmtId="0" fontId="0" fillId="3" borderId="16" xfId="0" applyFill="1" applyBorder="1"/>
    <xf numFmtId="0" fontId="6" fillId="3" borderId="1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18" borderId="0" xfId="0" applyFill="1"/>
    <xf numFmtId="0" fontId="6" fillId="18" borderId="17" xfId="0" applyFont="1" applyFill="1" applyBorder="1" applyAlignment="1">
      <alignment horizontal="centerContinuous"/>
    </xf>
    <xf numFmtId="0" fontId="0" fillId="18" borderId="16" xfId="0" applyFill="1" applyBorder="1"/>
    <xf numFmtId="0" fontId="6" fillId="18" borderId="17" xfId="0" applyFont="1" applyFill="1" applyBorder="1" applyAlignment="1">
      <alignment horizontal="center"/>
    </xf>
    <xf numFmtId="9" fontId="3" fillId="0" borderId="0" xfId="2" applyFont="1" applyAlignment="1">
      <alignment horizontal="center" vertical="center" wrapText="1"/>
    </xf>
    <xf numFmtId="9" fontId="3" fillId="0" borderId="0" xfId="2" applyFont="1" applyAlignment="1">
      <alignment vertical="center" wrapText="1"/>
    </xf>
    <xf numFmtId="0" fontId="3" fillId="0" borderId="0" xfId="2" applyNumberFormat="1" applyFont="1" applyAlignment="1">
      <alignment horizontal="center" vertical="center" wrapText="1"/>
    </xf>
    <xf numFmtId="0" fontId="0" fillId="0" borderId="0" xfId="0" applyAlignment="1">
      <alignment textRotation="90" wrapText="1"/>
    </xf>
    <xf numFmtId="0" fontId="0" fillId="19" borderId="0" xfId="0" applyFill="1"/>
    <xf numFmtId="0" fontId="0" fillId="20" borderId="0" xfId="0" applyFill="1"/>
    <xf numFmtId="9" fontId="0" fillId="12" borderId="0" xfId="2" applyFont="1" applyFill="1"/>
    <xf numFmtId="9" fontId="0" fillId="19" borderId="0" xfId="2" applyFont="1" applyFill="1"/>
    <xf numFmtId="9" fontId="0" fillId="18" borderId="0" xfId="2" applyFont="1" applyFill="1"/>
    <xf numFmtId="9" fontId="0" fillId="20" borderId="0" xfId="2" applyFont="1" applyFill="1"/>
    <xf numFmtId="9" fontId="0" fillId="13" borderId="0" xfId="2" applyFont="1" applyFill="1"/>
    <xf numFmtId="9" fontId="0" fillId="0" borderId="0" xfId="2" applyFont="1" applyAlignment="1">
      <alignment vertical="center"/>
    </xf>
    <xf numFmtId="0" fontId="12" fillId="3" borderId="18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4" fillId="3" borderId="16" xfId="0" applyFont="1" applyFill="1" applyBorder="1"/>
    <xf numFmtId="0" fontId="3" fillId="3" borderId="0" xfId="0" applyFont="1" applyFill="1" applyAlignment="1">
      <alignment horizontal="center" vertical="center" wrapText="1"/>
    </xf>
    <xf numFmtId="0" fontId="3" fillId="3" borderId="7" xfId="0" applyFont="1" applyFill="1" applyBorder="1"/>
    <xf numFmtId="0" fontId="3" fillId="3" borderId="7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0" xfId="0" applyFont="1" applyFill="1"/>
    <xf numFmtId="0" fontId="12" fillId="16" borderId="18" xfId="0" applyFont="1" applyFill="1" applyBorder="1" applyAlignment="1">
      <alignment horizontal="center"/>
    </xf>
    <xf numFmtId="0" fontId="4" fillId="16" borderId="5" xfId="0" applyFont="1" applyFill="1" applyBorder="1" applyAlignment="1">
      <alignment vertical="center" wrapText="1"/>
    </xf>
    <xf numFmtId="0" fontId="4" fillId="16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7" xfId="0" applyFont="1" applyFill="1" applyBorder="1"/>
    <xf numFmtId="0" fontId="3" fillId="16" borderId="7" xfId="0" applyFont="1" applyFill="1" applyBorder="1" applyAlignment="1">
      <alignment horizontal="center" vertical="center" wrapText="1"/>
    </xf>
    <xf numFmtId="0" fontId="0" fillId="18" borderId="2" xfId="0" applyFill="1" applyBorder="1"/>
    <xf numFmtId="0" fontId="0" fillId="18" borderId="5" xfId="0" applyFill="1" applyBorder="1"/>
    <xf numFmtId="0" fontId="0" fillId="18" borderId="19" xfId="0" applyFill="1" applyBorder="1"/>
    <xf numFmtId="0" fontId="12" fillId="18" borderId="18" xfId="0" applyFont="1" applyFill="1" applyBorder="1" applyAlignment="1">
      <alignment horizontal="center"/>
    </xf>
    <xf numFmtId="0" fontId="4" fillId="18" borderId="0" xfId="0" applyFont="1" applyFill="1" applyAlignment="1">
      <alignment horizontal="center" vertical="center" wrapText="1"/>
    </xf>
    <xf numFmtId="0" fontId="4" fillId="18" borderId="5" xfId="0" applyFont="1" applyFill="1" applyBorder="1" applyAlignment="1">
      <alignment vertical="center" wrapText="1"/>
    </xf>
    <xf numFmtId="0" fontId="3" fillId="18" borderId="0" xfId="0" applyFont="1" applyFill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0" fillId="18" borderId="7" xfId="0" applyFill="1" applyBorder="1"/>
    <xf numFmtId="0" fontId="3" fillId="18" borderId="7" xfId="0" applyFont="1" applyFill="1" applyBorder="1"/>
    <xf numFmtId="0" fontId="3" fillId="18" borderId="7" xfId="0" applyFont="1" applyFill="1" applyBorder="1" applyAlignment="1">
      <alignment horizontal="center" vertical="center" wrapText="1"/>
    </xf>
    <xf numFmtId="0" fontId="0" fillId="16" borderId="24" xfId="0" applyFill="1" applyBorder="1"/>
    <xf numFmtId="0" fontId="12" fillId="15" borderId="18" xfId="0" applyFont="1" applyFill="1" applyBorder="1" applyAlignment="1">
      <alignment horizontal="center"/>
    </xf>
    <xf numFmtId="0" fontId="4" fillId="15" borderId="0" xfId="0" applyFont="1" applyFill="1" applyAlignment="1">
      <alignment horizontal="center" vertical="center" wrapText="1"/>
    </xf>
    <xf numFmtId="0" fontId="4" fillId="15" borderId="5" xfId="0" applyFont="1" applyFill="1" applyBorder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3" fillId="15" borderId="7" xfId="0" applyFont="1" applyFill="1" applyBorder="1"/>
    <xf numFmtId="0" fontId="3" fillId="15" borderId="7" xfId="0" applyFont="1" applyFill="1" applyBorder="1" applyAlignment="1">
      <alignment horizontal="center" vertical="center" wrapText="1"/>
    </xf>
    <xf numFmtId="0" fontId="12" fillId="17" borderId="18" xfId="0" applyFont="1" applyFill="1" applyBorder="1" applyAlignment="1">
      <alignment horizontal="center"/>
    </xf>
    <xf numFmtId="0" fontId="4" fillId="17" borderId="0" xfId="0" applyFont="1" applyFill="1" applyAlignment="1">
      <alignment horizontal="center" vertical="center" wrapText="1"/>
    </xf>
    <xf numFmtId="0" fontId="4" fillId="17" borderId="5" xfId="0" applyFont="1" applyFill="1" applyBorder="1" applyAlignment="1">
      <alignment vertical="center" wrapText="1"/>
    </xf>
    <xf numFmtId="0" fontId="3" fillId="17" borderId="0" xfId="0" applyFont="1" applyFill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7" borderId="7" xfId="0" applyFont="1" applyFill="1" applyBorder="1"/>
    <xf numFmtId="0" fontId="3" fillId="17" borderId="7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9" fontId="0" fillId="0" borderId="5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0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0" fillId="16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10" fillId="17" borderId="3" xfId="0" applyFont="1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6" xfId="0" applyFill="1" applyBorder="1" applyAlignment="1">
      <alignment horizontal="center"/>
    </xf>
    <xf numFmtId="0" fontId="0" fillId="0" borderId="0" xfId="0" applyAlignment="1">
      <alignment horizontal="center" textRotation="90" wrapText="1"/>
    </xf>
    <xf numFmtId="9" fontId="0" fillId="0" borderId="0" xfId="2" applyFont="1" applyAlignment="1">
      <alignment horizontal="center" vertical="center"/>
    </xf>
  </cellXfs>
  <cellStyles count="4">
    <cellStyle name="MAND_x000d_CHECK.COMMAND_x000e_RENAME.COMMAND_x0008_SHOW.BAR_x000b_DELETE.MENU_x000e_DELETE.COMMAND_x000e_GET.CHA" xfId="3" xr:uid="{20217B4F-36D8-453F-AB1E-9CB0FF7A60A9}"/>
    <cellStyle name="Normal_załącznik 1" xfId="1" xr:uid="{0DE95B0D-B5BE-40AC-8CBC-451EEF46A752}"/>
    <cellStyle name="Normalny" xfId="0" builtinId="0"/>
    <cellStyle name="Procentowy" xfId="2" builtinId="5"/>
  </cellStyles>
  <dxfs count="0"/>
  <tableStyles count="0" defaultTableStyle="TableStyleMedium2" defaultPivotStyle="PivotStyleLight16"/>
  <colors>
    <mruColors>
      <color rgb="FFFFFF99"/>
      <color rgb="FF00D619"/>
      <color rgb="FF00E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cap="all" normalizeH="0" baseline="0"/>
              <a:t>Linear Regression: Sales Revenue → Operating Expenses (LPP)</a:t>
            </a:r>
            <a:endParaRPr lang="pl-PL"/>
          </a:p>
        </c:rich>
      </c:tx>
      <c:layout>
        <c:manualLayout>
          <c:xMode val="edge"/>
          <c:yMode val="edge"/>
          <c:x val="0.14368907597976444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987966787721174"/>
                  <c:y val="-3.76410761154855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'Regression -R²'!$D$5:$D$10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'Regression -R²'!$E$5:$E$10</c:f>
              <c:numCache>
                <c:formatCode>#,##0</c:formatCode>
                <c:ptCount val="6"/>
                <c:pt idx="0">
                  <c:v>7696</c:v>
                </c:pt>
                <c:pt idx="1">
                  <c:v>8655</c:v>
                </c:pt>
                <c:pt idx="2">
                  <c:v>8092</c:v>
                </c:pt>
                <c:pt idx="3">
                  <c:v>10011</c:v>
                </c:pt>
                <c:pt idx="4">
                  <c:v>15190</c:v>
                </c:pt>
                <c:pt idx="5">
                  <c:v>17919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3-4A8F-B9E2-09C22359E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86560"/>
        <c:axId val="1479183680"/>
      </c:scatterChart>
      <c:valAx>
        <c:axId val="147918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9183680"/>
        <c:crosses val="autoZero"/>
        <c:crossBetween val="midCat"/>
      </c:valAx>
      <c:valAx>
        <c:axId val="14791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91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  <a:lumOff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kern="1200" cap="all" spc="100" normalizeH="0" baseline="0">
                <a:solidFill>
                  <a:sysClr val="window" lastClr="FFFFFF"/>
                </a:solidFill>
              </a:rPr>
              <a:t>Linear Regression: Sales Revenue → Operating Expenses (orlen)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53357958802728"/>
                  <c:y val="-0.12166484397783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'Regression -R²'!$D$12:$D$17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'Regression -R²'!$E$12:$E$17</c:f>
              <c:numCache>
                <c:formatCode>General</c:formatCode>
                <c:ptCount val="6"/>
                <c:pt idx="0">
                  <c:v>1717</c:v>
                </c:pt>
                <c:pt idx="1">
                  <c:v>6226</c:v>
                </c:pt>
                <c:pt idx="2">
                  <c:v>15940</c:v>
                </c:pt>
                <c:pt idx="3">
                  <c:v>11020</c:v>
                </c:pt>
                <c:pt idx="4">
                  <c:v>25583</c:v>
                </c:pt>
                <c:pt idx="5">
                  <c:v>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7-460E-921B-8E6F6C6B1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694144"/>
        <c:axId val="1204694624"/>
      </c:scatterChart>
      <c:valAx>
        <c:axId val="120469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694624"/>
        <c:crosses val="autoZero"/>
        <c:crossBetween val="midCat"/>
      </c:valAx>
      <c:valAx>
        <c:axId val="12046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6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Linear Regression: Sales Revenue → Operating Expenses (cd</a:t>
            </a:r>
            <a:r>
              <a:rPr lang="pl-PL" baseline="0"/>
              <a:t> project)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411135951886114"/>
                  <c:y val="-3.07763830776383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'Regression -R²'!$D$19:$D$24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'Regression -R²'!$E$19:$E$24</c:f>
              <c:numCache>
                <c:formatCode>#,##0</c:formatCode>
                <c:ptCount val="6"/>
                <c:pt idx="0">
                  <c:v>187.95699999999999</c:v>
                </c:pt>
                <c:pt idx="1">
                  <c:v>498.87200000000001</c:v>
                </c:pt>
                <c:pt idx="2">
                  <c:v>422.40499999999997</c:v>
                </c:pt>
                <c:pt idx="3">
                  <c:v>351.351</c:v>
                </c:pt>
                <c:pt idx="4">
                  <c:v>434.63900000000001</c:v>
                </c:pt>
                <c:pt idx="5">
                  <c:v>401.21699999999998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6-4417-BC20-952B5D9D2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809152"/>
        <c:axId val="1341807232"/>
      </c:scatterChart>
      <c:valAx>
        <c:axId val="134180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1807232"/>
        <c:crosses val="autoZero"/>
        <c:crossBetween val="midCat"/>
      </c:valAx>
      <c:valAx>
        <c:axId val="13418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180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cap="all" normalizeH="0" baseline="0"/>
              <a:t>Correlation: ROE vs Debt-to-Equity (LPP)</a:t>
            </a:r>
            <a:endParaRPr lang="pl-PL"/>
          </a:p>
        </c:rich>
      </c:tx>
      <c:layout>
        <c:manualLayout>
          <c:xMode val="edge"/>
          <c:yMode val="edge"/>
          <c:x val="0.1033777053931644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551537917643532"/>
                  <c:y val="-0.27127442403032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Correlation!$F$3:$F$8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Correlation!$G$3:$G$8</c:f>
              <c:numCache>
                <c:formatCode>0.00</c:formatCode>
                <c:ptCount val="6"/>
                <c:pt idx="0">
                  <c:v>0.15701598579040851</c:v>
                </c:pt>
                <c:pt idx="1">
                  <c:v>0.12965814598090544</c:v>
                </c:pt>
                <c:pt idx="2">
                  <c:v>-6.1929595827900911E-2</c:v>
                </c:pt>
                <c:pt idx="3">
                  <c:v>0.29125916870415647</c:v>
                </c:pt>
                <c:pt idx="4">
                  <c:v>0.34174263302946789</c:v>
                </c:pt>
                <c:pt idx="5">
                  <c:v>0.32949830252734819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F-4FD9-B907-106D1F6CB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197792"/>
        <c:axId val="640517680"/>
      </c:scatterChart>
      <c:valAx>
        <c:axId val="149119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Debt-to-Equity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0517680"/>
        <c:crosses val="autoZero"/>
        <c:crossBetween val="midCat"/>
      </c:valAx>
      <c:valAx>
        <c:axId val="6405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119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kern="1200" cap="all" spc="100" normalizeH="0" baseline="0">
                <a:solidFill>
                  <a:sysClr val="window" lastClr="FFFFFF"/>
                </a:solidFill>
              </a:rPr>
              <a:t>Correlation: ROE vs Debt-to-Equity (orlen)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59581367020273"/>
                  <c:y val="-0.1949682852143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Correlation!$F$10:$F$15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Correlation!$G$10:$G$15</c:f>
              <c:numCache>
                <c:formatCode>0.00</c:formatCode>
                <c:ptCount val="6"/>
                <c:pt idx="0">
                  <c:v>0.11132696143186468</c:v>
                </c:pt>
                <c:pt idx="1">
                  <c:v>6.6644648375757856E-2</c:v>
                </c:pt>
                <c:pt idx="2">
                  <c:v>0.21278861881395261</c:v>
                </c:pt>
                <c:pt idx="3">
                  <c:v>0.2782405142897072</c:v>
                </c:pt>
                <c:pt idx="4">
                  <c:v>0.13531139835487663</c:v>
                </c:pt>
                <c:pt idx="5">
                  <c:v>1.925161395878355E-2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4-4B52-BCC9-E02E69AF6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152400"/>
        <c:axId val="1334152880"/>
      </c:scatterChart>
      <c:valAx>
        <c:axId val="13341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Debt-to-Equity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4152880"/>
        <c:crosses val="autoZero"/>
        <c:crossBetween val="midCat"/>
      </c:valAx>
      <c:valAx>
        <c:axId val="13341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415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kern="1200" cap="all" spc="100" normalizeH="0" baseline="0">
                <a:solidFill>
                  <a:sysClr val="window" lastClr="FFFFFF"/>
                </a:solidFill>
              </a:rPr>
              <a:t>Correlation: ROE vs Debt-to-Equity (cd project)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109283983372"/>
                  <c:y val="-0.10520086030912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Correlation!$F$17:$F$22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Correlation!$G$17:$G$22</c:f>
              <c:numCache>
                <c:formatCode>0.00</c:formatCode>
                <c:ptCount val="6"/>
                <c:pt idx="0">
                  <c:v>0.15856269292932398</c:v>
                </c:pt>
                <c:pt idx="1">
                  <c:v>0.526823065651571</c:v>
                </c:pt>
                <c:pt idx="2">
                  <c:v>0.11027916611238858</c:v>
                </c:pt>
                <c:pt idx="3">
                  <c:v>0.17056204730967686</c:v>
                </c:pt>
                <c:pt idx="4">
                  <c:v>0.20016933708898313</c:v>
                </c:pt>
                <c:pt idx="5">
                  <c:v>0.16777217712780565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B-4ED9-8BA3-395FDADF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098752"/>
        <c:axId val="1858099712"/>
      </c:scatterChart>
      <c:valAx>
        <c:axId val="185809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Debt-to-Equity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8099712"/>
        <c:crosses val="autoZero"/>
        <c:crossBetween val="midCat"/>
      </c:valAx>
      <c:valAx>
        <c:axId val="18580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809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revenue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Benchmarking!$E$27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Benchmarking!$D$28:$D$33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Benchmarking!$E$28:$E$33</c:f>
              <c:numCache>
                <c:formatCode>0</c:formatCode>
                <c:ptCount val="6"/>
                <c:pt idx="0">
                  <c:v>100</c:v>
                </c:pt>
                <c:pt idx="1">
                  <c:v>113.06681896059393</c:v>
                </c:pt>
                <c:pt idx="2">
                  <c:v>89.64020559680182</c:v>
                </c:pt>
                <c:pt idx="3">
                  <c:v>160.23986293546542</c:v>
                </c:pt>
                <c:pt idx="4">
                  <c:v>198.81210736721872</c:v>
                </c:pt>
                <c:pt idx="5">
                  <c:v>230.65676756139348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1-4792-8F6E-0D52F6AE272A}"/>
            </c:ext>
          </c:extLst>
        </c:ser>
        <c:ser>
          <c:idx val="1"/>
          <c:order val="1"/>
          <c:tx>
            <c:strRef>
              <c:f>Benchmarking!$F$27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Benchmarking!$D$28:$D$33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Benchmarking!$F$28:$F$33</c:f>
              <c:numCache>
                <c:formatCode>0</c:formatCode>
                <c:ptCount val="6"/>
                <c:pt idx="0">
                  <c:v>100</c:v>
                </c:pt>
                <c:pt idx="1">
                  <c:v>77.49790922906756</c:v>
                </c:pt>
                <c:pt idx="2">
                  <c:v>118.10922367202323</c:v>
                </c:pt>
                <c:pt idx="3">
                  <c:v>253.96347220848358</c:v>
                </c:pt>
                <c:pt idx="4">
                  <c:v>335.21307878384573</c:v>
                </c:pt>
                <c:pt idx="5">
                  <c:v>136.54487738640145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1-4792-8F6E-0D52F6AE272A}"/>
            </c:ext>
          </c:extLst>
        </c:ser>
        <c:ser>
          <c:idx val="2"/>
          <c:order val="2"/>
          <c:tx>
            <c:strRef>
              <c:f>Benchmarking!$G$27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Benchmarking!$D$28:$D$33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Benchmarking!$G$28:$G$33</c:f>
              <c:numCache>
                <c:formatCode>0</c:formatCode>
                <c:ptCount val="6"/>
                <c:pt idx="0">
                  <c:v>100</c:v>
                </c:pt>
                <c:pt idx="1">
                  <c:v>410.31841341948149</c:v>
                </c:pt>
                <c:pt idx="2">
                  <c:v>170.3855185008978</c:v>
                </c:pt>
                <c:pt idx="3">
                  <c:v>182.74068048926472</c:v>
                </c:pt>
                <c:pt idx="4">
                  <c:v>235.99943983179608</c:v>
                </c:pt>
                <c:pt idx="5">
                  <c:v>188.9666047668012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1-4792-8F6E-0D52F6AE2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688960"/>
        <c:axId val="1207689920"/>
      </c:lineChart>
      <c:catAx>
        <c:axId val="12076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689920"/>
        <c:crosses val="autoZero"/>
        <c:auto val="1"/>
        <c:lblAlgn val="ctr"/>
        <c:lblOffset val="100"/>
        <c:noMultiLvlLbl val="0"/>
      </c:catAx>
      <c:valAx>
        <c:axId val="12076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6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Operating Expenses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Benchmarking!$L$27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Benchmarking!$K$28:$K$33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Benchmarking!$L$28:$L$33</c:f>
              <c:numCache>
                <c:formatCode>0</c:formatCode>
                <c:ptCount val="6"/>
                <c:pt idx="0">
                  <c:v>100</c:v>
                </c:pt>
                <c:pt idx="1">
                  <c:v>112.4610187110187</c:v>
                </c:pt>
                <c:pt idx="2">
                  <c:v>105.14553014553015</c:v>
                </c:pt>
                <c:pt idx="3">
                  <c:v>130.08056133056135</c:v>
                </c:pt>
                <c:pt idx="4">
                  <c:v>197.37525987525987</c:v>
                </c:pt>
                <c:pt idx="5">
                  <c:v>232.83523908523907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8-4E80-8B63-42DF7A7DF1E0}"/>
            </c:ext>
          </c:extLst>
        </c:ser>
        <c:ser>
          <c:idx val="1"/>
          <c:order val="1"/>
          <c:tx>
            <c:strRef>
              <c:f>Benchmarking!$M$27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Benchmarking!$K$28:$K$33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Benchmarking!$M$28:$M$33</c:f>
              <c:numCache>
                <c:formatCode>0</c:formatCode>
                <c:ptCount val="6"/>
                <c:pt idx="0">
                  <c:v>100</c:v>
                </c:pt>
                <c:pt idx="1">
                  <c:v>362.60920209668024</c:v>
                </c:pt>
                <c:pt idx="2">
                  <c:v>928.36342457775186</c:v>
                </c:pt>
                <c:pt idx="3">
                  <c:v>641.8171228887594</c:v>
                </c:pt>
                <c:pt idx="4">
                  <c:v>1489.9825276645311</c:v>
                </c:pt>
                <c:pt idx="5">
                  <c:v>181.77052999417589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8-4E80-8B63-42DF7A7DF1E0}"/>
            </c:ext>
          </c:extLst>
        </c:ser>
        <c:ser>
          <c:idx val="2"/>
          <c:order val="2"/>
          <c:tx>
            <c:strRef>
              <c:f>Benchmarking!$N$27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Benchmarking!$K$28:$K$33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Benchmarking!$N$28:$N$33</c:f>
              <c:numCache>
                <c:formatCode>0</c:formatCode>
                <c:ptCount val="6"/>
                <c:pt idx="0">
                  <c:v>100</c:v>
                </c:pt>
                <c:pt idx="1">
                  <c:v>265.41815415227956</c:v>
                </c:pt>
                <c:pt idx="2">
                  <c:v>224.73491277260226</c:v>
                </c:pt>
                <c:pt idx="3">
                  <c:v>186.9315854158132</c:v>
                </c:pt>
                <c:pt idx="4">
                  <c:v>231.24384832701099</c:v>
                </c:pt>
                <c:pt idx="5">
                  <c:v>213.46212165548502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8-4E80-8B63-42DF7A7DF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262272"/>
        <c:axId val="1887265152"/>
      </c:lineChart>
      <c:catAx>
        <c:axId val="18872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265152"/>
        <c:crosses val="autoZero"/>
        <c:auto val="1"/>
        <c:lblAlgn val="ctr"/>
        <c:lblOffset val="100"/>
        <c:noMultiLvlLbl val="0"/>
      </c:catAx>
      <c:valAx>
        <c:axId val="18872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2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Gross Profit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Benchmarking!$F$49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Benchmarking!$E$50:$E$55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Benchmarking!$F$50:$F$55</c:f>
              <c:numCache>
                <c:formatCode>0</c:formatCode>
                <c:ptCount val="6"/>
                <c:pt idx="0">
                  <c:v>100</c:v>
                </c:pt>
                <c:pt idx="1">
                  <c:v>101.3719512195122</c:v>
                </c:pt>
                <c:pt idx="2">
                  <c:v>-17.682926829268293</c:v>
                </c:pt>
                <c:pt idx="3">
                  <c:v>187.80487804878047</c:v>
                </c:pt>
                <c:pt idx="4">
                  <c:v>312.04268292682929</c:v>
                </c:pt>
                <c:pt idx="5">
                  <c:v>343.14024390243907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9-42B2-895A-4DDB8D333528}"/>
            </c:ext>
          </c:extLst>
        </c:ser>
        <c:ser>
          <c:idx val="1"/>
          <c:order val="1"/>
          <c:tx>
            <c:strRef>
              <c:f>Benchmarking!$G$49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Benchmarking!$E$50:$E$55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Benchmarking!$G$50:$G$55</c:f>
              <c:numCache>
                <c:formatCode>0</c:formatCode>
                <c:ptCount val="6"/>
                <c:pt idx="0">
                  <c:v>100</c:v>
                </c:pt>
                <c:pt idx="1">
                  <c:v>53.36322869955157</c:v>
                </c:pt>
                <c:pt idx="2">
                  <c:v>255.66143497757849</c:v>
                </c:pt>
                <c:pt idx="3">
                  <c:v>893.70328849028397</c:v>
                </c:pt>
                <c:pt idx="4">
                  <c:v>566.40508221225718</c:v>
                </c:pt>
                <c:pt idx="5">
                  <c:v>104.59641255605381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9-42B2-895A-4DDB8D333528}"/>
            </c:ext>
          </c:extLst>
        </c:ser>
        <c:ser>
          <c:idx val="2"/>
          <c:order val="2"/>
          <c:tx>
            <c:strRef>
              <c:f>Benchmarking!$H$49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Benchmarking!$E$50:$E$55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Benchmarking!$H$50:$H$55</c:f>
              <c:numCache>
                <c:formatCode>0</c:formatCode>
                <c:ptCount val="6"/>
                <c:pt idx="0">
                  <c:v>100</c:v>
                </c:pt>
                <c:pt idx="1">
                  <c:v>615.84726319239587</c:v>
                </c:pt>
                <c:pt idx="2">
                  <c:v>115.83087512291053</c:v>
                </c:pt>
                <c:pt idx="3">
                  <c:v>207.50732176652815</c:v>
                </c:pt>
                <c:pt idx="4">
                  <c:v>284.67239720451249</c:v>
                </c:pt>
                <c:pt idx="5">
                  <c:v>227.36278956661488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9-42B2-895A-4DDB8D33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716800"/>
        <c:axId val="1207717760"/>
      </c:lineChart>
      <c:catAx>
        <c:axId val="120771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717760"/>
        <c:crosses val="autoZero"/>
        <c:auto val="1"/>
        <c:lblAlgn val="ctr"/>
        <c:lblOffset val="100"/>
        <c:noMultiLvlLbl val="0"/>
      </c:catAx>
      <c:valAx>
        <c:axId val="12077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7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Net Profit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Benchmarking!$L$50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Benchmarking!$K$51:$K$56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Benchmarking!$L$51:$L$56</c:f>
              <c:numCache>
                <c:formatCode>0</c:formatCode>
                <c:ptCount val="6"/>
                <c:pt idx="0">
                  <c:v>100</c:v>
                </c:pt>
                <c:pt idx="1">
                  <c:v>95.248868778280539</c:v>
                </c:pt>
                <c:pt idx="2">
                  <c:v>-42.986425339366519</c:v>
                </c:pt>
                <c:pt idx="3">
                  <c:v>215.61085972850677</c:v>
                </c:pt>
                <c:pt idx="4">
                  <c:v>364.70588235294116</c:v>
                </c:pt>
                <c:pt idx="5">
                  <c:v>395.24886877828055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E-4F7C-A096-605EC94C3DF0}"/>
            </c:ext>
          </c:extLst>
        </c:ser>
        <c:ser>
          <c:idx val="1"/>
          <c:order val="1"/>
          <c:tx>
            <c:strRef>
              <c:f>Benchmarking!$M$50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Benchmarking!$K$51:$K$56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Benchmarking!$M$51:$M$56</c:f>
              <c:numCache>
                <c:formatCode>0</c:formatCode>
                <c:ptCount val="6"/>
                <c:pt idx="0">
                  <c:v>100</c:v>
                </c:pt>
                <c:pt idx="1">
                  <c:v>65.728245695672399</c:v>
                </c:pt>
                <c:pt idx="2">
                  <c:v>260.30711959050723</c:v>
                </c:pt>
                <c:pt idx="3">
                  <c:v>926.45416472778038</c:v>
                </c:pt>
                <c:pt idx="4">
                  <c:v>482.24755700325727</c:v>
                </c:pt>
                <c:pt idx="5">
                  <c:v>65.704979060027924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BE-4F7C-A096-605EC94C3DF0}"/>
            </c:ext>
          </c:extLst>
        </c:ser>
        <c:ser>
          <c:idx val="2"/>
          <c:order val="2"/>
          <c:tx>
            <c:strRef>
              <c:f>Benchmarking!$N$50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Benchmarking!$K$51:$K$56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Benchmarking!$N$51:$N$56</c:f>
              <c:numCache>
                <c:formatCode>0</c:formatCode>
                <c:ptCount val="6"/>
                <c:pt idx="0">
                  <c:v>100</c:v>
                </c:pt>
                <c:pt idx="1">
                  <c:v>656.04654479080511</c:v>
                </c:pt>
                <c:pt idx="2">
                  <c:v>119.16150928329007</c:v>
                </c:pt>
                <c:pt idx="3">
                  <c:v>197.63910675070585</c:v>
                </c:pt>
                <c:pt idx="4">
                  <c:v>274.42318113110684</c:v>
                </c:pt>
                <c:pt idx="5">
                  <c:v>268.01699797507348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BE-4F7C-A096-605EC94C3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884352"/>
        <c:axId val="1204885792"/>
      </c:lineChart>
      <c:catAx>
        <c:axId val="12048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885792"/>
        <c:crosses val="autoZero"/>
        <c:auto val="1"/>
        <c:lblAlgn val="ctr"/>
        <c:lblOffset val="100"/>
        <c:noMultiLvlLbl val="0"/>
      </c:catAx>
      <c:valAx>
        <c:axId val="12048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8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Total Assets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Benchmarking!$E$71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Benchmarking!$D$72:$D$77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Benchmarking!$E$72:$E$77</c:f>
              <c:numCache>
                <c:formatCode>0</c:formatCode>
                <c:ptCount val="6"/>
                <c:pt idx="0">
                  <c:v>100</c:v>
                </c:pt>
                <c:pt idx="1">
                  <c:v>121.50265621047305</c:v>
                </c:pt>
                <c:pt idx="2">
                  <c:v>130.96382494308122</c:v>
                </c:pt>
                <c:pt idx="3">
                  <c:v>178.78826207943334</c:v>
                </c:pt>
                <c:pt idx="4">
                  <c:v>174.57627118644069</c:v>
                </c:pt>
                <c:pt idx="5">
                  <c:v>221.36352137616998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0-4555-A85E-EC65BE48FE17}"/>
            </c:ext>
          </c:extLst>
        </c:ser>
        <c:ser>
          <c:idx val="1"/>
          <c:order val="1"/>
          <c:tx>
            <c:strRef>
              <c:f>Benchmarking!$F$71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Benchmarking!$D$72:$D$77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Benchmarking!$F$72:$F$77</c:f>
              <c:numCache>
                <c:formatCode>0</c:formatCode>
                <c:ptCount val="6"/>
                <c:pt idx="0">
                  <c:v>100</c:v>
                </c:pt>
                <c:pt idx="1">
                  <c:v>118.04162804415606</c:v>
                </c:pt>
                <c:pt idx="2">
                  <c:v>149.93118170837897</c:v>
                </c:pt>
                <c:pt idx="3">
                  <c:v>439.84298193870961</c:v>
                </c:pt>
                <c:pt idx="4">
                  <c:v>371.02609477261876</c:v>
                </c:pt>
                <c:pt idx="5">
                  <c:v>357.48714923738095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0-4555-A85E-EC65BE48FE17}"/>
            </c:ext>
          </c:extLst>
        </c:ser>
        <c:ser>
          <c:idx val="2"/>
          <c:order val="2"/>
          <c:tx>
            <c:strRef>
              <c:f>Benchmarking!$G$71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Benchmarking!$D$72:$D$77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Benchmarking!$G$72:$G$77</c:f>
              <c:numCache>
                <c:formatCode>0</c:formatCode>
                <c:ptCount val="6"/>
                <c:pt idx="0">
                  <c:v>100</c:v>
                </c:pt>
                <c:pt idx="1">
                  <c:v>205.84591783538019</c:v>
                </c:pt>
                <c:pt idx="2">
                  <c:v>153.74422765200399</c:v>
                </c:pt>
                <c:pt idx="3">
                  <c:v>162.11936688630792</c:v>
                </c:pt>
                <c:pt idx="4">
                  <c:v>186.12799015460351</c:v>
                </c:pt>
                <c:pt idx="5">
                  <c:v>216.68019838929769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0-4555-A85E-EC65BE48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782160"/>
        <c:axId val="1299783120"/>
      </c:lineChart>
      <c:catAx>
        <c:axId val="12997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783120"/>
        <c:crosses val="autoZero"/>
        <c:auto val="1"/>
        <c:lblAlgn val="ctr"/>
        <c:lblOffset val="100"/>
        <c:noMultiLvlLbl val="0"/>
      </c:catAx>
      <c:valAx>
        <c:axId val="12997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7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Sector Benchmark: Company Performance vs Median (2024)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43083021250105302"/>
          <c:y val="0.28506160688247301"/>
          <c:w val="0.35536548556430447"/>
          <c:h val="0.59227580927384083"/>
        </c:manualLayout>
      </c:layout>
      <c:radarChart>
        <c:radarStyle val="marker"/>
        <c:varyColors val="0"/>
        <c:ser>
          <c:idx val="0"/>
          <c:order val="0"/>
          <c:tx>
            <c:strRef>
              <c:f>'Sector Median Comparison'!$E$34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'Sector Median Comparison'!$D$35:$D$39</c:f>
              <c:strCache>
                <c:ptCount val="5"/>
                <c:pt idx="0">
                  <c:v>Sales revenue</c:v>
                </c:pt>
                <c:pt idx="1">
                  <c:v>Operating expenses</c:v>
                </c:pt>
                <c:pt idx="2">
                  <c:v>Gross profit</c:v>
                </c:pt>
                <c:pt idx="3">
                  <c:v>Net profit</c:v>
                </c:pt>
                <c:pt idx="4">
                  <c:v>Total assets</c:v>
                </c:pt>
              </c:strCache>
            </c:strRef>
          </c:cat>
          <c:val>
            <c:numRef>
              <c:f>'Sector Median Comparison'!$E$35:$E$39</c:f>
              <c:numCache>
                <c:formatCode>0%</c:formatCode>
                <c:ptCount val="5"/>
                <c:pt idx="0">
                  <c:v>0</c:v>
                </c:pt>
                <c:pt idx="1">
                  <c:v>4.74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8-43AB-95EC-9DDA8CD83DD5}"/>
            </c:ext>
          </c:extLst>
        </c:ser>
        <c:ser>
          <c:idx val="1"/>
          <c:order val="1"/>
          <c:tx>
            <c:strRef>
              <c:f>'Sector Median Comparison'!$F$34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'Sector Median Comparison'!$D$35:$D$39</c:f>
              <c:strCache>
                <c:ptCount val="5"/>
                <c:pt idx="0">
                  <c:v>Sales revenue</c:v>
                </c:pt>
                <c:pt idx="1">
                  <c:v>Operating expenses</c:v>
                </c:pt>
                <c:pt idx="2">
                  <c:v>Gross profit</c:v>
                </c:pt>
                <c:pt idx="3">
                  <c:v>Net profit</c:v>
                </c:pt>
                <c:pt idx="4">
                  <c:v>Total assets</c:v>
                </c:pt>
              </c:strCache>
            </c:strRef>
          </c:cat>
          <c:val>
            <c:numRef>
              <c:f>'Sector Median Comparison'!$F$35:$F$39</c:f>
              <c:numCache>
                <c:formatCode>0%</c:formatCode>
                <c:ptCount val="5"/>
                <c:pt idx="0">
                  <c:v>6.5191641081509362</c:v>
                </c:pt>
                <c:pt idx="1">
                  <c:v>0</c:v>
                </c:pt>
                <c:pt idx="2">
                  <c:v>1.4868947134606842</c:v>
                </c:pt>
                <c:pt idx="3">
                  <c:v>0.6164854035489411</c:v>
                </c:pt>
                <c:pt idx="4">
                  <c:v>13.544197474430032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8-43AB-95EC-9DDA8CD83DD5}"/>
            </c:ext>
          </c:extLst>
        </c:ser>
        <c:ser>
          <c:idx val="2"/>
          <c:order val="2"/>
          <c:tx>
            <c:strRef>
              <c:f>'Sector Median Comparison'!$G$34</c:f>
              <c:strCache>
                <c:ptCount val="1"/>
                <c:pt idx="0">
                  <c:v>CD Projekt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'Sector Median Comparison'!$D$35:$D$39</c:f>
              <c:strCache>
                <c:ptCount val="5"/>
                <c:pt idx="0">
                  <c:v>Sales revenue</c:v>
                </c:pt>
                <c:pt idx="1">
                  <c:v>Operating expenses</c:v>
                </c:pt>
                <c:pt idx="2">
                  <c:v>Gross profit</c:v>
                </c:pt>
                <c:pt idx="3">
                  <c:v>Net profit</c:v>
                </c:pt>
                <c:pt idx="4">
                  <c:v>Total assets</c:v>
                </c:pt>
              </c:strCache>
            </c:strRef>
          </c:cat>
          <c:val>
            <c:numRef>
              <c:f>'Sector Median Comparison'!$G$35:$G$39</c:f>
              <c:numCache>
                <c:formatCode>0%</c:formatCode>
                <c:ptCount val="5"/>
                <c:pt idx="0">
                  <c:v>-0.95122164999504799</c:v>
                </c:pt>
                <c:pt idx="1">
                  <c:v>-0.87</c:v>
                </c:pt>
                <c:pt idx="2">
                  <c:v>-0.80893647267880942</c:v>
                </c:pt>
                <c:pt idx="3">
                  <c:v>-0.73103949627933607</c:v>
                </c:pt>
                <c:pt idx="4">
                  <c:v>-0.82615713387806411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8-43AB-95EC-9DDA8CD83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922352"/>
        <c:axId val="571922832"/>
      </c:radarChart>
      <c:catAx>
        <c:axId val="57192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1922832"/>
        <c:crosses val="autoZero"/>
        <c:auto val="1"/>
        <c:lblAlgn val="ctr"/>
        <c:lblOffset val="100"/>
        <c:noMultiLvlLbl val="0"/>
      </c:catAx>
      <c:valAx>
        <c:axId val="5719228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57192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 sz="1800" b="1" i="0" u="none" strike="noStrike" baseline="0"/>
              <a:t>Sales Revenue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regression'!$E$4:$E$9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'Multiple regression'!$K$29:$K$34</c:f>
              <c:numCache>
                <c:formatCode>General</c:formatCode>
                <c:ptCount val="6"/>
                <c:pt idx="0">
                  <c:v>8.0659981902183459E-4</c:v>
                </c:pt>
                <c:pt idx="1">
                  <c:v>-1.7737262994598768E-3</c:v>
                </c:pt>
                <c:pt idx="2">
                  <c:v>4.8203856817227025E-4</c:v>
                </c:pt>
                <c:pt idx="3">
                  <c:v>-1.3406169043805871E-4</c:v>
                </c:pt>
                <c:pt idx="4">
                  <c:v>1.4021015358837569E-3</c:v>
                </c:pt>
                <c:pt idx="5">
                  <c:v>-7.8295193317996781E-4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36-46EC-8B3D-07220167C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116448"/>
        <c:axId val="1308116928"/>
      </c:scatterChart>
      <c:valAx>
        <c:axId val="130811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08116928"/>
        <c:crosses val="autoZero"/>
        <c:crossBetween val="midCat"/>
      </c:valAx>
      <c:valAx>
        <c:axId val="1308116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baseline="0"/>
                  <a:t>Residuals</a:t>
                </a:r>
                <a:endParaRPr lang="pl-P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81164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84632034376442"/>
          <c:y val="0.20556098143896934"/>
          <c:w val="0.78039968873212662"/>
          <c:h val="0.67414950060369472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regression'!$F$4:$F$9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'Multiple regression'!$K$29:$K$34</c:f>
              <c:numCache>
                <c:formatCode>General</c:formatCode>
                <c:ptCount val="6"/>
                <c:pt idx="0">
                  <c:v>8.0659981902183459E-4</c:v>
                </c:pt>
                <c:pt idx="1">
                  <c:v>-1.7737262994598768E-3</c:v>
                </c:pt>
                <c:pt idx="2">
                  <c:v>4.8203856817227025E-4</c:v>
                </c:pt>
                <c:pt idx="3">
                  <c:v>-1.3406169043805871E-4</c:v>
                </c:pt>
                <c:pt idx="4">
                  <c:v>1.4021015358837569E-3</c:v>
                </c:pt>
                <c:pt idx="5">
                  <c:v>-7.8295193317996781E-4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9-4C74-8297-96D0E60E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116448"/>
        <c:axId val="1834338896"/>
      </c:scatterChart>
      <c:valAx>
        <c:axId val="130811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34338896"/>
        <c:crosses val="autoZero"/>
        <c:crossBetween val="midCat"/>
      </c:valAx>
      <c:valAx>
        <c:axId val="1834338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baseline="0"/>
                  <a:t>Residuals</a:t>
                </a:r>
                <a:endParaRPr lang="pl-P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81164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regression'!$G$4:$G$9</c:f>
              <c:numCache>
                <c:formatCode>0%</c:formatCode>
                <c:ptCount val="6"/>
                <c:pt idx="0">
                  <c:v>7.492861222158767E-2</c:v>
                </c:pt>
                <c:pt idx="1">
                  <c:v>6.71785028790787E-2</c:v>
                </c:pt>
                <c:pt idx="2">
                  <c:v>-1.4780835881753314E-2</c:v>
                </c:pt>
                <c:pt idx="3">
                  <c:v>8.7818091097013329E-2</c:v>
                </c:pt>
                <c:pt idx="4">
                  <c:v>0.11760312535907158</c:v>
                </c:pt>
                <c:pt idx="5">
                  <c:v>0.11146875309497871</c:v>
                </c:pt>
              </c:numCache>
            </c:numRef>
          </c:xVal>
          <c:yVal>
            <c:numRef>
              <c:f>'Multiple regression'!$K$29:$K$34</c:f>
              <c:numCache>
                <c:formatCode>General</c:formatCode>
                <c:ptCount val="6"/>
                <c:pt idx="0">
                  <c:v>8.0659981902183459E-4</c:v>
                </c:pt>
                <c:pt idx="1">
                  <c:v>-1.7737262994598768E-3</c:v>
                </c:pt>
                <c:pt idx="2">
                  <c:v>4.8203856817227025E-4</c:v>
                </c:pt>
                <c:pt idx="3">
                  <c:v>-1.3406169043805871E-4</c:v>
                </c:pt>
                <c:pt idx="4">
                  <c:v>1.4021015358837569E-3</c:v>
                </c:pt>
                <c:pt idx="5">
                  <c:v>-7.8295193317996781E-4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63-498B-85E7-D9FA8F67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662176"/>
        <c:axId val="1269660256"/>
      </c:scatterChart>
      <c:valAx>
        <c:axId val="12696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269660256"/>
        <c:crosses val="autoZero"/>
        <c:crossBetween val="midCat"/>
      </c:valAx>
      <c:valAx>
        <c:axId val="1269660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baseline="0"/>
                  <a:t>Residuals</a:t>
                </a:r>
                <a:endParaRPr lang="pl-P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96621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regression'!$E$4:$E$9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'Multiple regression'!$D$4:$D$9</c:f>
              <c:numCache>
                <c:formatCode>0%</c:formatCode>
                <c:ptCount val="6"/>
                <c:pt idx="0">
                  <c:v>5.0485436893203881E-2</c:v>
                </c:pt>
                <c:pt idx="1">
                  <c:v>4.2529548439236287E-2</c:v>
                </c:pt>
                <c:pt idx="2">
                  <c:v>-2.4209989806320081E-2</c:v>
                </c:pt>
                <c:pt idx="3">
                  <c:v>6.7930714947608523E-2</c:v>
                </c:pt>
                <c:pt idx="4">
                  <c:v>9.2611743077099851E-2</c:v>
                </c:pt>
                <c:pt idx="5">
                  <c:v>8.6510844805387732E-2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D-4754-8154-515CE9367B52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regression'!$E$4:$E$9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'Multiple regression'!$J$29:$J$34</c:f>
              <c:numCache>
                <c:formatCode>General</c:formatCode>
                <c:ptCount val="6"/>
                <c:pt idx="0">
                  <c:v>4.9678837074182046E-2</c:v>
                </c:pt>
                <c:pt idx="1">
                  <c:v>4.4303274738696163E-2</c:v>
                </c:pt>
                <c:pt idx="2">
                  <c:v>-2.4692028374492352E-2</c:v>
                </c:pt>
                <c:pt idx="3">
                  <c:v>6.8064776638046581E-2</c:v>
                </c:pt>
                <c:pt idx="4">
                  <c:v>9.1209641541216094E-2</c:v>
                </c:pt>
                <c:pt idx="5">
                  <c:v>8.72937967385677E-2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4D-4754-8154-515CE9367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662176"/>
        <c:axId val="1204748480"/>
      </c:scatterChart>
      <c:valAx>
        <c:axId val="12696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204748480"/>
        <c:crosses val="autoZero"/>
        <c:crossBetween val="midCat"/>
      </c:valAx>
      <c:valAx>
        <c:axId val="1204748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269662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37319600608244"/>
          <c:y val="0.16240383498485483"/>
          <c:w val="0.60697171905335356"/>
          <c:h val="0.72328824039243367"/>
        </c:manualLayout>
      </c:layout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regression'!$F$4:$F$9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'Multiple regression'!$D$4:$D$9</c:f>
              <c:numCache>
                <c:formatCode>0%</c:formatCode>
                <c:ptCount val="6"/>
                <c:pt idx="0">
                  <c:v>5.0485436893203881E-2</c:v>
                </c:pt>
                <c:pt idx="1">
                  <c:v>4.2529548439236287E-2</c:v>
                </c:pt>
                <c:pt idx="2">
                  <c:v>-2.4209989806320081E-2</c:v>
                </c:pt>
                <c:pt idx="3">
                  <c:v>6.7930714947608523E-2</c:v>
                </c:pt>
                <c:pt idx="4">
                  <c:v>9.2611743077099851E-2</c:v>
                </c:pt>
                <c:pt idx="5">
                  <c:v>8.6510844805387732E-2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B-478D-87B7-55FC5B7C50F4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regression'!$F$4:$F$9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'Multiple regression'!$J$29:$J$34</c:f>
              <c:numCache>
                <c:formatCode>General</c:formatCode>
                <c:ptCount val="6"/>
                <c:pt idx="0">
                  <c:v>4.9678837074182046E-2</c:v>
                </c:pt>
                <c:pt idx="1">
                  <c:v>4.4303274738696163E-2</c:v>
                </c:pt>
                <c:pt idx="2">
                  <c:v>-2.4692028374492352E-2</c:v>
                </c:pt>
                <c:pt idx="3">
                  <c:v>6.8064776638046581E-2</c:v>
                </c:pt>
                <c:pt idx="4">
                  <c:v>9.1209641541216094E-2</c:v>
                </c:pt>
                <c:pt idx="5">
                  <c:v>8.72937967385677E-2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B-478D-87B7-55FC5B7C5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598112"/>
        <c:axId val="1269662176"/>
      </c:scatterChart>
      <c:valAx>
        <c:axId val="186059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69662176"/>
        <c:crosses val="autoZero"/>
        <c:crossBetween val="midCat"/>
      </c:valAx>
      <c:valAx>
        <c:axId val="1269662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860598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layout>
        <c:manualLayout>
          <c:xMode val="edge"/>
          <c:yMode val="edge"/>
          <c:x val="0.14942766849370373"/>
          <c:y val="2.368903570702445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regression'!$G$4:$G$9</c:f>
              <c:numCache>
                <c:formatCode>0%</c:formatCode>
                <c:ptCount val="6"/>
                <c:pt idx="0">
                  <c:v>7.492861222158767E-2</c:v>
                </c:pt>
                <c:pt idx="1">
                  <c:v>6.71785028790787E-2</c:v>
                </c:pt>
                <c:pt idx="2">
                  <c:v>-1.4780835881753314E-2</c:v>
                </c:pt>
                <c:pt idx="3">
                  <c:v>8.7818091097013329E-2</c:v>
                </c:pt>
                <c:pt idx="4">
                  <c:v>0.11760312535907158</c:v>
                </c:pt>
                <c:pt idx="5">
                  <c:v>0.11146875309497871</c:v>
                </c:pt>
              </c:numCache>
            </c:numRef>
          </c:xVal>
          <c:yVal>
            <c:numRef>
              <c:f>'Multiple regression'!$D$4:$D$9</c:f>
              <c:numCache>
                <c:formatCode>0%</c:formatCode>
                <c:ptCount val="6"/>
                <c:pt idx="0">
                  <c:v>5.0485436893203881E-2</c:v>
                </c:pt>
                <c:pt idx="1">
                  <c:v>4.2529548439236287E-2</c:v>
                </c:pt>
                <c:pt idx="2">
                  <c:v>-2.4209989806320081E-2</c:v>
                </c:pt>
                <c:pt idx="3">
                  <c:v>6.7930714947608523E-2</c:v>
                </c:pt>
                <c:pt idx="4">
                  <c:v>9.2611743077099851E-2</c:v>
                </c:pt>
                <c:pt idx="5">
                  <c:v>8.6510844805387732E-2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D-4D92-BD37-D0B5F2A1FDAA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regression'!$G$4:$G$9</c:f>
              <c:numCache>
                <c:formatCode>0%</c:formatCode>
                <c:ptCount val="6"/>
                <c:pt idx="0">
                  <c:v>7.492861222158767E-2</c:v>
                </c:pt>
                <c:pt idx="1">
                  <c:v>6.71785028790787E-2</c:v>
                </c:pt>
                <c:pt idx="2">
                  <c:v>-1.4780835881753314E-2</c:v>
                </c:pt>
                <c:pt idx="3">
                  <c:v>8.7818091097013329E-2</c:v>
                </c:pt>
                <c:pt idx="4">
                  <c:v>0.11760312535907158</c:v>
                </c:pt>
                <c:pt idx="5">
                  <c:v>0.11146875309497871</c:v>
                </c:pt>
              </c:numCache>
            </c:numRef>
          </c:xVal>
          <c:yVal>
            <c:numRef>
              <c:f>'Multiple regression'!$J$29:$J$34</c:f>
              <c:numCache>
                <c:formatCode>General</c:formatCode>
                <c:ptCount val="6"/>
                <c:pt idx="0">
                  <c:v>4.9678837074182046E-2</c:v>
                </c:pt>
                <c:pt idx="1">
                  <c:v>4.4303274738696163E-2</c:v>
                </c:pt>
                <c:pt idx="2">
                  <c:v>-2.4692028374492352E-2</c:v>
                </c:pt>
                <c:pt idx="3">
                  <c:v>6.8064776638046581E-2</c:v>
                </c:pt>
                <c:pt idx="4">
                  <c:v>9.1209641541216094E-2</c:v>
                </c:pt>
                <c:pt idx="5">
                  <c:v>8.72937967385677E-2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6D-4D92-BD37-D0B5F2A1F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317504"/>
        <c:axId val="572318944"/>
      </c:scatterChart>
      <c:valAx>
        <c:axId val="57231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72318944"/>
        <c:crosses val="autoZero"/>
        <c:crossBetween val="midCat"/>
      </c:valAx>
      <c:valAx>
        <c:axId val="572318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72317504"/>
        <c:crosses val="autoZero"/>
        <c:crossBetween val="midCat"/>
      </c:valAx>
    </c:plotArea>
    <c:legend>
      <c:legendPos val="r"/>
      <c:legendEntry>
        <c:idx val="1"/>
        <c:txPr>
          <a:bodyPr/>
          <a:lstStyle/>
          <a:p>
            <a:pPr>
              <a:defRPr baseline="0">
                <a:latin typeface="Hind" panose="020B0502040204020203" pitchFamily="2" charset="-18"/>
              </a:defRPr>
            </a:pPr>
            <a:endParaRPr lang="pl-PL"/>
          </a:p>
        </c:txPr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regression'!$E$11:$E$16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'Multiple regression'!$H$83:$H$88</c:f>
              <c:numCache>
                <c:formatCode>General</c:formatCode>
                <c:ptCount val="6"/>
                <c:pt idx="0">
                  <c:v>4.6108159909940619E-3</c:v>
                </c:pt>
                <c:pt idx="1">
                  <c:v>9.0495676096422062E-4</c:v>
                </c:pt>
                <c:pt idx="2">
                  <c:v>-1.6247344393630764E-3</c:v>
                </c:pt>
                <c:pt idx="3">
                  <c:v>1.6810320410987067E-4</c:v>
                </c:pt>
                <c:pt idx="4">
                  <c:v>8.6699921459690993E-4</c:v>
                </c:pt>
                <c:pt idx="5">
                  <c:v>-4.926140731302011E-3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E-4B0E-9862-EC41643C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277392"/>
        <c:axId val="1877272592"/>
      </c:scatterChart>
      <c:valAx>
        <c:axId val="1877277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272592"/>
        <c:crosses val="autoZero"/>
        <c:crossBetween val="midCat"/>
      </c:valAx>
      <c:valAx>
        <c:axId val="1877272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2773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regression'!$F$11:$F$16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'Multiple regression'!$H$83:$H$88</c:f>
              <c:numCache>
                <c:formatCode>General</c:formatCode>
                <c:ptCount val="6"/>
                <c:pt idx="0">
                  <c:v>4.6108159909940619E-3</c:v>
                </c:pt>
                <c:pt idx="1">
                  <c:v>9.0495676096422062E-4</c:v>
                </c:pt>
                <c:pt idx="2">
                  <c:v>-1.6247344393630764E-3</c:v>
                </c:pt>
                <c:pt idx="3">
                  <c:v>1.6810320410987067E-4</c:v>
                </c:pt>
                <c:pt idx="4">
                  <c:v>8.6699921459690993E-4</c:v>
                </c:pt>
                <c:pt idx="5">
                  <c:v>-4.926140731302011E-3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CA-490E-B39C-2E8932F87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77440"/>
        <c:axId val="1479172640"/>
      </c:scatterChart>
      <c:valAx>
        <c:axId val="147917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79172640"/>
        <c:crosses val="autoZero"/>
        <c:crossBetween val="midCat"/>
      </c:valAx>
      <c:valAx>
        <c:axId val="1479172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1774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regression'!$G$11:$G$16</c:f>
              <c:numCache>
                <c:formatCode>0%</c:formatCode>
                <c:ptCount val="6"/>
                <c:pt idx="0">
                  <c:v>4.8128197980270314E-2</c:v>
                </c:pt>
                <c:pt idx="1">
                  <c:v>3.3139939661174289E-2</c:v>
                </c:pt>
                <c:pt idx="2">
                  <c:v>0.10417919766105024</c:v>
                </c:pt>
                <c:pt idx="3">
                  <c:v>0.16936423348618168</c:v>
                </c:pt>
                <c:pt idx="4">
                  <c:v>8.1321576212486618E-2</c:v>
                </c:pt>
                <c:pt idx="5">
                  <c:v>3.6867269925317109E-2</c:v>
                </c:pt>
              </c:numCache>
            </c:numRef>
          </c:xVal>
          <c:yVal>
            <c:numRef>
              <c:f>'Multiple regression'!$H$83:$H$88</c:f>
              <c:numCache>
                <c:formatCode>General</c:formatCode>
                <c:ptCount val="6"/>
                <c:pt idx="0">
                  <c:v>4.6108159909940619E-3</c:v>
                </c:pt>
                <c:pt idx="1">
                  <c:v>9.0495676096422062E-4</c:v>
                </c:pt>
                <c:pt idx="2">
                  <c:v>-1.6247344393630764E-3</c:v>
                </c:pt>
                <c:pt idx="3">
                  <c:v>1.6810320410987067E-4</c:v>
                </c:pt>
                <c:pt idx="4">
                  <c:v>8.6699921459690993E-4</c:v>
                </c:pt>
                <c:pt idx="5">
                  <c:v>-4.926140731302011E-3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CD-44D6-96DD-D8E6FDA33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86560"/>
        <c:axId val="1479178400"/>
      </c:scatterChart>
      <c:valAx>
        <c:axId val="147918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78400"/>
        <c:crosses val="autoZero"/>
        <c:crossBetween val="midCat"/>
      </c:valAx>
      <c:valAx>
        <c:axId val="147917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1865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regression'!$E$11:$E$16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'Multiple regression'!$D$11:$D$16</c:f>
              <c:numCache>
                <c:formatCode>0%</c:formatCode>
                <c:ptCount val="6"/>
                <c:pt idx="0">
                  <c:v>3.8650036419880761E-2</c:v>
                </c:pt>
                <c:pt idx="1">
                  <c:v>3.2780227430958458E-2</c:v>
                </c:pt>
                <c:pt idx="2">
                  <c:v>8.5182844656276416E-2</c:v>
                </c:pt>
                <c:pt idx="3">
                  <c:v>0.14099463555406053</c:v>
                </c:pt>
                <c:pt idx="4">
                  <c:v>5.5603097913710174E-2</c:v>
                </c:pt>
                <c:pt idx="5">
                  <c:v>1.8598279790835209E-2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7-4362-8D36-F18026993111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regression'!$E$11:$E$16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'Multiple regression'!$G$83:$G$88</c:f>
              <c:numCache>
                <c:formatCode>General</c:formatCode>
                <c:ptCount val="6"/>
                <c:pt idx="0">
                  <c:v>3.4039220428886699E-2</c:v>
                </c:pt>
                <c:pt idx="1">
                  <c:v>3.1875270669994238E-2</c:v>
                </c:pt>
                <c:pt idx="2">
                  <c:v>8.6807579095639492E-2</c:v>
                </c:pt>
                <c:pt idx="3">
                  <c:v>0.14082653234995066</c:v>
                </c:pt>
                <c:pt idx="4">
                  <c:v>5.4736098699113264E-2</c:v>
                </c:pt>
                <c:pt idx="5">
                  <c:v>2.352442052213722E-2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57-4362-8D36-F18026993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73120"/>
        <c:axId val="1479190400"/>
      </c:scatterChart>
      <c:valAx>
        <c:axId val="147917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190400"/>
        <c:crosses val="autoZero"/>
        <c:crossBetween val="midCat"/>
      </c:valAx>
      <c:valAx>
        <c:axId val="1479190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73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regression'!$F$11:$F$16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'Multiple regression'!$D$11:$D$16</c:f>
              <c:numCache>
                <c:formatCode>0%</c:formatCode>
                <c:ptCount val="6"/>
                <c:pt idx="0">
                  <c:v>3.8650036419880761E-2</c:v>
                </c:pt>
                <c:pt idx="1">
                  <c:v>3.2780227430958458E-2</c:v>
                </c:pt>
                <c:pt idx="2">
                  <c:v>8.5182844656276416E-2</c:v>
                </c:pt>
                <c:pt idx="3">
                  <c:v>0.14099463555406053</c:v>
                </c:pt>
                <c:pt idx="4">
                  <c:v>5.5603097913710174E-2</c:v>
                </c:pt>
                <c:pt idx="5">
                  <c:v>1.8598279790835209E-2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6F-4776-8EE6-4706CC3DFCDD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regression'!$F$11:$F$16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'Multiple regression'!$G$83:$G$88</c:f>
              <c:numCache>
                <c:formatCode>General</c:formatCode>
                <c:ptCount val="6"/>
                <c:pt idx="0">
                  <c:v>3.4039220428886699E-2</c:v>
                </c:pt>
                <c:pt idx="1">
                  <c:v>3.1875270669994238E-2</c:v>
                </c:pt>
                <c:pt idx="2">
                  <c:v>8.6807579095639492E-2</c:v>
                </c:pt>
                <c:pt idx="3">
                  <c:v>0.14082653234995066</c:v>
                </c:pt>
                <c:pt idx="4">
                  <c:v>5.4736098699113264E-2</c:v>
                </c:pt>
                <c:pt idx="5">
                  <c:v>2.352442052213722E-2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6F-4776-8EE6-4706CC3DF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90880"/>
        <c:axId val="1479192800"/>
      </c:scatterChart>
      <c:valAx>
        <c:axId val="147919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79192800"/>
        <c:crosses val="autoZero"/>
        <c:crossBetween val="midCat"/>
      </c:valAx>
      <c:valAx>
        <c:axId val="1479192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90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regression'!$G$11:$G$16</c:f>
              <c:numCache>
                <c:formatCode>0%</c:formatCode>
                <c:ptCount val="6"/>
                <c:pt idx="0">
                  <c:v>4.8128197980270314E-2</c:v>
                </c:pt>
                <c:pt idx="1">
                  <c:v>3.3139939661174289E-2</c:v>
                </c:pt>
                <c:pt idx="2">
                  <c:v>0.10417919766105024</c:v>
                </c:pt>
                <c:pt idx="3">
                  <c:v>0.16936423348618168</c:v>
                </c:pt>
                <c:pt idx="4">
                  <c:v>8.1321576212486618E-2</c:v>
                </c:pt>
                <c:pt idx="5">
                  <c:v>3.6867269925317109E-2</c:v>
                </c:pt>
              </c:numCache>
            </c:numRef>
          </c:xVal>
          <c:yVal>
            <c:numRef>
              <c:f>'Multiple regression'!$D$11:$D$16</c:f>
              <c:numCache>
                <c:formatCode>0%</c:formatCode>
                <c:ptCount val="6"/>
                <c:pt idx="0">
                  <c:v>3.8650036419880761E-2</c:v>
                </c:pt>
                <c:pt idx="1">
                  <c:v>3.2780227430958458E-2</c:v>
                </c:pt>
                <c:pt idx="2">
                  <c:v>8.5182844656276416E-2</c:v>
                </c:pt>
                <c:pt idx="3">
                  <c:v>0.14099463555406053</c:v>
                </c:pt>
                <c:pt idx="4">
                  <c:v>5.5603097913710174E-2</c:v>
                </c:pt>
                <c:pt idx="5">
                  <c:v>1.8598279790835209E-2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7-40A2-8BF6-18CB4DC6E272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regression'!$G$11:$G$16</c:f>
              <c:numCache>
                <c:formatCode>0%</c:formatCode>
                <c:ptCount val="6"/>
                <c:pt idx="0">
                  <c:v>4.8128197980270314E-2</c:v>
                </c:pt>
                <c:pt idx="1">
                  <c:v>3.3139939661174289E-2</c:v>
                </c:pt>
                <c:pt idx="2">
                  <c:v>0.10417919766105024</c:v>
                </c:pt>
                <c:pt idx="3">
                  <c:v>0.16936423348618168</c:v>
                </c:pt>
                <c:pt idx="4">
                  <c:v>8.1321576212486618E-2</c:v>
                </c:pt>
                <c:pt idx="5">
                  <c:v>3.6867269925317109E-2</c:v>
                </c:pt>
              </c:numCache>
            </c:numRef>
          </c:xVal>
          <c:yVal>
            <c:numRef>
              <c:f>'Multiple regression'!$G$83:$G$88</c:f>
              <c:numCache>
                <c:formatCode>General</c:formatCode>
                <c:ptCount val="6"/>
                <c:pt idx="0">
                  <c:v>3.4039220428886699E-2</c:v>
                </c:pt>
                <c:pt idx="1">
                  <c:v>3.1875270669994238E-2</c:v>
                </c:pt>
                <c:pt idx="2">
                  <c:v>8.6807579095639492E-2</c:v>
                </c:pt>
                <c:pt idx="3">
                  <c:v>0.14082653234995066</c:v>
                </c:pt>
                <c:pt idx="4">
                  <c:v>5.4736098699113264E-2</c:v>
                </c:pt>
                <c:pt idx="5">
                  <c:v>2.352442052213722E-2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7-40A2-8BF6-18CB4DC6E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94240"/>
        <c:axId val="1479196160"/>
      </c:scatterChart>
      <c:valAx>
        <c:axId val="147919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96160"/>
        <c:crosses val="autoZero"/>
        <c:crossBetween val="midCat"/>
      </c:valAx>
      <c:valAx>
        <c:axId val="147919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94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regression'!$E$18:$E$23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'Multiple regression'!$H$129:$H$134</c:f>
              <c:numCache>
                <c:formatCode>General</c:formatCode>
                <c:ptCount val="6"/>
                <c:pt idx="0">
                  <c:v>-2.4068594893786321E-3</c:v>
                </c:pt>
                <c:pt idx="1">
                  <c:v>6.1244607502799475E-3</c:v>
                </c:pt>
                <c:pt idx="2">
                  <c:v>8.366028137426762E-3</c:v>
                </c:pt>
                <c:pt idx="3">
                  <c:v>-3.2085002183128486E-2</c:v>
                </c:pt>
                <c:pt idx="4">
                  <c:v>-3.4318566641779069E-2</c:v>
                </c:pt>
                <c:pt idx="5">
                  <c:v>5.4319939426579367E-2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4-4924-8F73-FEAD96A5C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96240"/>
        <c:axId val="1482796720"/>
      </c:scatterChart>
      <c:valAx>
        <c:axId val="148279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82796720"/>
        <c:crosses val="autoZero"/>
        <c:crossBetween val="midCat"/>
      </c:valAx>
      <c:valAx>
        <c:axId val="148279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7962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regression'!$F$18:$F$23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'Multiple regression'!$H$129:$H$134</c:f>
              <c:numCache>
                <c:formatCode>General</c:formatCode>
                <c:ptCount val="6"/>
                <c:pt idx="0">
                  <c:v>-2.4068594893786321E-3</c:v>
                </c:pt>
                <c:pt idx="1">
                  <c:v>6.1244607502799475E-3</c:v>
                </c:pt>
                <c:pt idx="2">
                  <c:v>8.366028137426762E-3</c:v>
                </c:pt>
                <c:pt idx="3">
                  <c:v>-3.2085002183128486E-2</c:v>
                </c:pt>
                <c:pt idx="4">
                  <c:v>-3.4318566641779069E-2</c:v>
                </c:pt>
                <c:pt idx="5">
                  <c:v>5.4319939426579367E-2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B-45C1-9092-663F2D6B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85680"/>
        <c:axId val="1482797200"/>
      </c:scatterChart>
      <c:valAx>
        <c:axId val="148278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82797200"/>
        <c:crosses val="autoZero"/>
        <c:crossBetween val="midCat"/>
      </c:valAx>
      <c:valAx>
        <c:axId val="1482797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785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regression'!$G$18:$G$23</c:f>
              <c:numCache>
                <c:formatCode>0%</c:formatCode>
                <c:ptCount val="6"/>
                <c:pt idx="0">
                  <c:v>0.3628854033978422</c:v>
                </c:pt>
                <c:pt idx="1">
                  <c:v>0.54465501724037169</c:v>
                </c:pt>
                <c:pt idx="2">
                  <c:v>0.2466954598884</c:v>
                </c:pt>
                <c:pt idx="3">
                  <c:v>0.41206685870733673</c:v>
                </c:pt>
                <c:pt idx="4">
                  <c:v>0.43772755464766266</c:v>
                </c:pt>
                <c:pt idx="5">
                  <c:v>0.43662020446077787</c:v>
                </c:pt>
              </c:numCache>
            </c:numRef>
          </c:xVal>
          <c:yVal>
            <c:numRef>
              <c:f>'Multiple regression'!$H$129:$H$134</c:f>
              <c:numCache>
                <c:formatCode>General</c:formatCode>
                <c:ptCount val="6"/>
                <c:pt idx="0">
                  <c:v>-2.4068594893786321E-3</c:v>
                </c:pt>
                <c:pt idx="1">
                  <c:v>6.1244607502799475E-3</c:v>
                </c:pt>
                <c:pt idx="2">
                  <c:v>8.366028137426762E-3</c:v>
                </c:pt>
                <c:pt idx="3">
                  <c:v>-3.2085002183128486E-2</c:v>
                </c:pt>
                <c:pt idx="4">
                  <c:v>-3.4318566641779069E-2</c:v>
                </c:pt>
                <c:pt idx="5">
                  <c:v>5.4319939426579367E-2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C-4BF0-B9E7-A21D0198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85680"/>
        <c:axId val="1482790000"/>
      </c:scatterChart>
      <c:valAx>
        <c:axId val="148278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90000"/>
        <c:crosses val="autoZero"/>
        <c:crossBetween val="midCat"/>
      </c:valAx>
      <c:valAx>
        <c:axId val="1482790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785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regression'!$E$18:$E$23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'Multiple regression'!$D$18:$D$23</c:f>
              <c:numCache>
                <c:formatCode>0%</c:formatCode>
                <c:ptCount val="6"/>
                <c:pt idx="0">
                  <c:v>0.33632153654905689</c:v>
                </c:pt>
                <c:pt idx="1">
                  <c:v>0.53773502425340425</c:v>
                </c:pt>
                <c:pt idx="2">
                  <c:v>0.23521119783105071</c:v>
                </c:pt>
                <c:pt idx="3">
                  <c:v>0.36374105583176564</c:v>
                </c:pt>
                <c:pt idx="4">
                  <c:v>0.39107900429117565</c:v>
                </c:pt>
                <c:pt idx="5">
                  <c:v>0.47701491325137307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3-419E-B5F6-D2A82D271D32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regression'!$E$18:$E$23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'Multiple regression'!$G$129:$G$134</c:f>
              <c:numCache>
                <c:formatCode>General</c:formatCode>
                <c:ptCount val="6"/>
                <c:pt idx="0">
                  <c:v>0.33872839603843552</c:v>
                </c:pt>
                <c:pt idx="1">
                  <c:v>0.5316105635031243</c:v>
                </c:pt>
                <c:pt idx="2">
                  <c:v>0.22684516969362395</c:v>
                </c:pt>
                <c:pt idx="3">
                  <c:v>0.39582605801489412</c:v>
                </c:pt>
                <c:pt idx="4">
                  <c:v>0.42539757093295472</c:v>
                </c:pt>
                <c:pt idx="5">
                  <c:v>0.42269497382479371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63-419E-B5F6-D2A82D27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96240"/>
        <c:axId val="1482798160"/>
      </c:scatterChart>
      <c:valAx>
        <c:axId val="148279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82798160"/>
        <c:crosses val="autoZero"/>
        <c:crossBetween val="midCat"/>
      </c:valAx>
      <c:valAx>
        <c:axId val="1482798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96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regression'!$F$18:$F$23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'Multiple regression'!$D$18:$D$23</c:f>
              <c:numCache>
                <c:formatCode>0%</c:formatCode>
                <c:ptCount val="6"/>
                <c:pt idx="0">
                  <c:v>0.33632153654905689</c:v>
                </c:pt>
                <c:pt idx="1">
                  <c:v>0.53773502425340425</c:v>
                </c:pt>
                <c:pt idx="2">
                  <c:v>0.23521119783105071</c:v>
                </c:pt>
                <c:pt idx="3">
                  <c:v>0.36374105583176564</c:v>
                </c:pt>
                <c:pt idx="4">
                  <c:v>0.39107900429117565</c:v>
                </c:pt>
                <c:pt idx="5">
                  <c:v>0.47701491325137307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7-461B-B060-C04A7071C2EC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regression'!$F$18:$F$23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'Multiple regression'!$G$129:$G$134</c:f>
              <c:numCache>
                <c:formatCode>General</c:formatCode>
                <c:ptCount val="6"/>
                <c:pt idx="0">
                  <c:v>0.33872839603843552</c:v>
                </c:pt>
                <c:pt idx="1">
                  <c:v>0.5316105635031243</c:v>
                </c:pt>
                <c:pt idx="2">
                  <c:v>0.22684516969362395</c:v>
                </c:pt>
                <c:pt idx="3">
                  <c:v>0.39582605801489412</c:v>
                </c:pt>
                <c:pt idx="4">
                  <c:v>0.42539757093295472</c:v>
                </c:pt>
                <c:pt idx="5">
                  <c:v>0.42269497382479371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7-461B-B060-C04A7071C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83760"/>
        <c:axId val="1482799600"/>
      </c:scatterChart>
      <c:valAx>
        <c:axId val="148278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82799600"/>
        <c:crosses val="autoZero"/>
        <c:crossBetween val="midCat"/>
      </c:valAx>
      <c:valAx>
        <c:axId val="1482799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837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regression'!$G$18:$G$23</c:f>
              <c:numCache>
                <c:formatCode>0%</c:formatCode>
                <c:ptCount val="6"/>
                <c:pt idx="0">
                  <c:v>0.3628854033978422</c:v>
                </c:pt>
                <c:pt idx="1">
                  <c:v>0.54465501724037169</c:v>
                </c:pt>
                <c:pt idx="2">
                  <c:v>0.2466954598884</c:v>
                </c:pt>
                <c:pt idx="3">
                  <c:v>0.41206685870733673</c:v>
                </c:pt>
                <c:pt idx="4">
                  <c:v>0.43772755464766266</c:v>
                </c:pt>
                <c:pt idx="5">
                  <c:v>0.43662020446077787</c:v>
                </c:pt>
              </c:numCache>
            </c:numRef>
          </c:xVal>
          <c:yVal>
            <c:numRef>
              <c:f>'Multiple regression'!$D$18:$D$23</c:f>
              <c:numCache>
                <c:formatCode>0%</c:formatCode>
                <c:ptCount val="6"/>
                <c:pt idx="0">
                  <c:v>0.33632153654905689</c:v>
                </c:pt>
                <c:pt idx="1">
                  <c:v>0.53773502425340425</c:v>
                </c:pt>
                <c:pt idx="2">
                  <c:v>0.23521119783105071</c:v>
                </c:pt>
                <c:pt idx="3">
                  <c:v>0.36374105583176564</c:v>
                </c:pt>
                <c:pt idx="4">
                  <c:v>0.39107900429117565</c:v>
                </c:pt>
                <c:pt idx="5">
                  <c:v>0.47701491325137307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7-4534-AD84-461E2DC4B54A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regression'!$G$18:$G$23</c:f>
              <c:numCache>
                <c:formatCode>0%</c:formatCode>
                <c:ptCount val="6"/>
                <c:pt idx="0">
                  <c:v>0.3628854033978422</c:v>
                </c:pt>
                <c:pt idx="1">
                  <c:v>0.54465501724037169</c:v>
                </c:pt>
                <c:pt idx="2">
                  <c:v>0.2466954598884</c:v>
                </c:pt>
                <c:pt idx="3">
                  <c:v>0.41206685870733673</c:v>
                </c:pt>
                <c:pt idx="4">
                  <c:v>0.43772755464766266</c:v>
                </c:pt>
                <c:pt idx="5">
                  <c:v>0.43662020446077787</c:v>
                </c:pt>
              </c:numCache>
            </c:numRef>
          </c:xVal>
          <c:yVal>
            <c:numRef>
              <c:f>'Multiple regression'!$G$129:$G$134</c:f>
              <c:numCache>
                <c:formatCode>General</c:formatCode>
                <c:ptCount val="6"/>
                <c:pt idx="0">
                  <c:v>0.33872839603843552</c:v>
                </c:pt>
                <c:pt idx="1">
                  <c:v>0.5316105635031243</c:v>
                </c:pt>
                <c:pt idx="2">
                  <c:v>0.22684516969362395</c:v>
                </c:pt>
                <c:pt idx="3">
                  <c:v>0.39582605801489412</c:v>
                </c:pt>
                <c:pt idx="4">
                  <c:v>0.42539757093295472</c:v>
                </c:pt>
                <c:pt idx="5">
                  <c:v>0.42269497382479371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7-4534-AD84-461E2DC4B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801040"/>
        <c:axId val="1482785680"/>
      </c:scatterChart>
      <c:valAx>
        <c:axId val="148280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85680"/>
        <c:crosses val="autoZero"/>
        <c:crossBetween val="midCat"/>
      </c:valAx>
      <c:valAx>
        <c:axId val="1482785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801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'Volatility analysis'!$L$5</c:f>
              <c:strCache>
                <c:ptCount val="1"/>
                <c:pt idx="0">
                  <c:v>Average Standard Deviation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'Volatility analysis'!$K$6:$K$8</c:f>
              <c:strCache>
                <c:ptCount val="3"/>
                <c:pt idx="0">
                  <c:v>LPP</c:v>
                </c:pt>
                <c:pt idx="1">
                  <c:v>Orlen</c:v>
                </c:pt>
                <c:pt idx="2">
                  <c:v>CD Project</c:v>
                </c:pt>
              </c:strCache>
            </c:strRef>
          </c:cat>
          <c:val>
            <c:numRef>
              <c:f>'Volatility analysis'!$L$6:$L$8</c:f>
              <c:numCache>
                <c:formatCode>0%</c:formatCode>
                <c:ptCount val="3"/>
                <c:pt idx="0">
                  <c:v>7.4607325105612979E-2</c:v>
                </c:pt>
                <c:pt idx="1">
                  <c:v>5.5814562464788962E-2</c:v>
                </c:pt>
                <c:pt idx="2">
                  <c:v>0.11169881266675367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1-48FC-B66E-87D460A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45664"/>
        <c:axId val="1857499424"/>
      </c:radarChart>
      <c:catAx>
        <c:axId val="5696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499424"/>
        <c:crosses val="autoZero"/>
        <c:auto val="1"/>
        <c:lblAlgn val="ctr"/>
        <c:lblOffset val="100"/>
        <c:noMultiLvlLbl val="0"/>
      </c:catAx>
      <c:valAx>
        <c:axId val="18574994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696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-</a:t>
            </a:r>
            <a:r>
              <a:rPr lang="pl-PL" sz="1800" b="1" i="0" u="none" strike="noStrike" baseline="0"/>
              <a:t>Sales Revenue 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Operating Expenses</c:v>
          </c:tx>
          <c:spPr>
            <a:ln w="38100">
              <a:noFill/>
            </a:ln>
          </c:spPr>
          <c:xVal>
            <c:numRef>
              <c:f>'Regression – Full analysis'!$C$4:$C$9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'Regression – Full analysis'!$D$4:$D$9</c:f>
              <c:numCache>
                <c:formatCode>#,##0</c:formatCode>
                <c:ptCount val="6"/>
                <c:pt idx="0">
                  <c:v>7696</c:v>
                </c:pt>
                <c:pt idx="1">
                  <c:v>8655</c:v>
                </c:pt>
                <c:pt idx="2">
                  <c:v>8092</c:v>
                </c:pt>
                <c:pt idx="3">
                  <c:v>10011</c:v>
                </c:pt>
                <c:pt idx="4">
                  <c:v>15190</c:v>
                </c:pt>
                <c:pt idx="5">
                  <c:v>17919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1-412F-8C90-AD4C79BF5F78}"/>
            </c:ext>
          </c:extLst>
        </c:ser>
        <c:ser>
          <c:idx val="1"/>
          <c:order val="1"/>
          <c:tx>
            <c:v>Przewidywane Operating Expenses</c:v>
          </c:tx>
          <c:spPr>
            <a:ln w="38100">
              <a:noFill/>
            </a:ln>
          </c:spPr>
          <c:xVal>
            <c:numRef>
              <c:f>'Regression – Full analysis'!$C$4:$C$9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'Regression – Full analysis'!$H$27:$H$32</c:f>
              <c:numCache>
                <c:formatCode>General</c:formatCode>
                <c:ptCount val="6"/>
                <c:pt idx="0">
                  <c:v>7767.9584743620781</c:v>
                </c:pt>
                <c:pt idx="1">
                  <c:v>8704.3595927550596</c:v>
                </c:pt>
                <c:pt idx="2">
                  <c:v>7025.5495457061043</c:v>
                </c:pt>
                <c:pt idx="3">
                  <c:v>12084.898595345103</c:v>
                </c:pt>
                <c:pt idx="4">
                  <c:v>14849.082665985921</c:v>
                </c:pt>
                <c:pt idx="5">
                  <c:v>17131.151125845739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51-412F-8C90-AD4C79BF5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59568"/>
        <c:axId val="1329061488"/>
      </c:scatterChart>
      <c:valAx>
        <c:axId val="132905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29061488"/>
        <c:crosses val="autoZero"/>
        <c:crossBetween val="midCat"/>
      </c:valAx>
      <c:valAx>
        <c:axId val="1329061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Operating Expenses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29059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Operating Expenses</c:v>
          </c:tx>
          <c:spPr>
            <a:ln w="38100">
              <a:noFill/>
            </a:ln>
          </c:spPr>
          <c:xVal>
            <c:numRef>
              <c:f>'Regression – Full analysis'!$C$11:$C$16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'Regression – Full analysis'!$D$11:$D$16</c:f>
              <c:numCache>
                <c:formatCode>General</c:formatCode>
                <c:ptCount val="6"/>
                <c:pt idx="0">
                  <c:v>1717</c:v>
                </c:pt>
                <c:pt idx="1">
                  <c:v>6226</c:v>
                </c:pt>
                <c:pt idx="2">
                  <c:v>15940</c:v>
                </c:pt>
                <c:pt idx="3">
                  <c:v>11020</c:v>
                </c:pt>
                <c:pt idx="4">
                  <c:v>25583</c:v>
                </c:pt>
                <c:pt idx="5">
                  <c:v>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5-405E-A598-7EB2D14DF004}"/>
            </c:ext>
          </c:extLst>
        </c:ser>
        <c:ser>
          <c:idx val="1"/>
          <c:order val="1"/>
          <c:tx>
            <c:v>Przewidywane Operating Expenses</c:v>
          </c:tx>
          <c:spPr>
            <a:ln w="38100">
              <a:noFill/>
            </a:ln>
          </c:spPr>
          <c:xVal>
            <c:numRef>
              <c:f>'Regression – Full analysis'!$C$11:$C$16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'Regression – Full analysis'!$H$72:$H$77</c:f>
              <c:numCache>
                <c:formatCode>General</c:formatCode>
                <c:ptCount val="6"/>
                <c:pt idx="0">
                  <c:v>5825.4794412090314</c:v>
                </c:pt>
                <c:pt idx="1">
                  <c:v>4295.1353252383178</c:v>
                </c:pt>
                <c:pt idx="2">
                  <c:v>7057.0691709543944</c:v>
                </c:pt>
                <c:pt idx="3">
                  <c:v>16296.377286534442</c:v>
                </c:pt>
                <c:pt idx="4">
                  <c:v>21822.07970295877</c:v>
                </c:pt>
                <c:pt idx="5">
                  <c:v>8310.859073105039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45-405E-A598-7EB2D14DF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0640"/>
        <c:axId val="1299754800"/>
      </c:scatterChart>
      <c:valAx>
        <c:axId val="12997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9754800"/>
        <c:crosses val="autoZero"/>
        <c:crossBetween val="midCat"/>
      </c:valAx>
      <c:valAx>
        <c:axId val="1299754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Operating Expenses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9770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Operating Expenses</c:v>
          </c:tx>
          <c:spPr>
            <a:ln w="38100">
              <a:noFill/>
            </a:ln>
          </c:spPr>
          <c:xVal>
            <c:numRef>
              <c:f>'Regression – Full analysis'!$C$18:$C$23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'Regression – Full analysis'!$D$18:$D$23</c:f>
              <c:numCache>
                <c:formatCode>#,##0</c:formatCode>
                <c:ptCount val="6"/>
                <c:pt idx="0">
                  <c:v>187.95699999999999</c:v>
                </c:pt>
                <c:pt idx="1">
                  <c:v>498.87200000000001</c:v>
                </c:pt>
                <c:pt idx="2">
                  <c:v>422.40499999999997</c:v>
                </c:pt>
                <c:pt idx="3">
                  <c:v>351.351</c:v>
                </c:pt>
                <c:pt idx="4">
                  <c:v>434.63900000000001</c:v>
                </c:pt>
                <c:pt idx="5">
                  <c:v>401.21699999999998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7-457B-87F8-4F31C2B7A521}"/>
            </c:ext>
          </c:extLst>
        </c:ser>
        <c:ser>
          <c:idx val="1"/>
          <c:order val="1"/>
          <c:tx>
            <c:v>Przewidywane Operating Expenses</c:v>
          </c:tx>
          <c:spPr>
            <a:ln w="38100">
              <a:noFill/>
            </a:ln>
          </c:spPr>
          <c:xVal>
            <c:numRef>
              <c:f>'Regression – Full analysis'!$C$18:$C$23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'Regression – Full analysis'!$H$114:$H$119</c:f>
              <c:numCache>
                <c:formatCode>General</c:formatCode>
                <c:ptCount val="6"/>
                <c:pt idx="0">
                  <c:v>289.88664392508184</c:v>
                </c:pt>
                <c:pt idx="1">
                  <c:v>541.02300473740502</c:v>
                </c:pt>
                <c:pt idx="2">
                  <c:v>346.84866166493606</c:v>
                </c:pt>
                <c:pt idx="3">
                  <c:v>356.84752181897682</c:v>
                </c:pt>
                <c:pt idx="4">
                  <c:v>399.94909241312115</c:v>
                </c:pt>
                <c:pt idx="5">
                  <c:v>361.8860754404792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B7-457B-87F8-4F31C2B7A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64000"/>
        <c:axId val="1479170720"/>
      </c:scatterChart>
      <c:valAx>
        <c:axId val="147916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79170720"/>
        <c:crosses val="autoZero"/>
        <c:crossBetween val="midCat"/>
      </c:valAx>
      <c:valAx>
        <c:axId val="1479170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Operating Expenses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79164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18" Type="http://schemas.openxmlformats.org/officeDocument/2006/relationships/chart" Target="../charts/chart3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17" Type="http://schemas.openxmlformats.org/officeDocument/2006/relationships/chart" Target="../charts/chart29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167095</xdr:colOff>
      <xdr:row>0</xdr:row>
      <xdr:rowOff>114300</xdr:rowOff>
    </xdr:from>
    <xdr:to>
      <xdr:col>11</xdr:col>
      <xdr:colOff>1057819</xdr:colOff>
      <xdr:row>14</xdr:row>
      <xdr:rowOff>114300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A4304C9-7843-6FE2-0424-48BE67160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150767</xdr:colOff>
      <xdr:row>15</xdr:row>
      <xdr:rowOff>68851</xdr:rowOff>
    </xdr:from>
    <xdr:to>
      <xdr:col>11</xdr:col>
      <xdr:colOff>1037681</xdr:colOff>
      <xdr:row>29</xdr:row>
      <xdr:rowOff>68851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E9DAC54-1EB2-0840-68A4-28EC9440C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127411</xdr:colOff>
      <xdr:row>30</xdr:row>
      <xdr:rowOff>21738</xdr:rowOff>
    </xdr:from>
    <xdr:to>
      <xdr:col>11</xdr:col>
      <xdr:colOff>1014917</xdr:colOff>
      <xdr:row>44</xdr:row>
      <xdr:rowOff>123600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23065C7E-E2B6-7192-1951-21C80226F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882016</xdr:colOff>
      <xdr:row>0</xdr:row>
      <xdr:rowOff>47080</xdr:rowOff>
    </xdr:from>
    <xdr:to>
      <xdr:col>13</xdr:col>
      <xdr:colOff>442777</xdr:colOff>
      <xdr:row>14</xdr:row>
      <xdr:rowOff>47080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A090D66-4AE5-A92F-B2BA-02C25C02F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903787</xdr:colOff>
      <xdr:row>14</xdr:row>
      <xdr:rowOff>68852</xdr:rowOff>
    </xdr:from>
    <xdr:to>
      <xdr:col>13</xdr:col>
      <xdr:colOff>460738</xdr:colOff>
      <xdr:row>28</xdr:row>
      <xdr:rowOff>68852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6E7CB2F-DA32-BB2B-9437-B8629FEE6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892902</xdr:colOff>
      <xdr:row>28</xdr:row>
      <xdr:rowOff>98244</xdr:rowOff>
    </xdr:from>
    <xdr:to>
      <xdr:col>13</xdr:col>
      <xdr:colOff>453663</xdr:colOff>
      <xdr:row>42</xdr:row>
      <xdr:rowOff>98244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C90555D-C93C-DF60-6F1F-253D32E6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320313</xdr:colOff>
      <xdr:row>23</xdr:row>
      <xdr:rowOff>174986</xdr:rowOff>
    </xdr:from>
    <xdr:to>
      <xdr:col>9</xdr:col>
      <xdr:colOff>132533</xdr:colOff>
      <xdr:row>42</xdr:row>
      <xdr:rowOff>31296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FDCB1AEC-F638-893B-A038-19552D836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664027</xdr:colOff>
      <xdr:row>23</xdr:row>
      <xdr:rowOff>180156</xdr:rowOff>
    </xdr:from>
    <xdr:to>
      <xdr:col>14</xdr:col>
      <xdr:colOff>354057</xdr:colOff>
      <xdr:row>42</xdr:row>
      <xdr:rowOff>92800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BDE0151B-D4A9-974C-64C6-A0E44B01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379095</xdr:colOff>
      <xdr:row>42</xdr:row>
      <xdr:rowOff>67220</xdr:rowOff>
    </xdr:from>
    <xdr:to>
      <xdr:col>9</xdr:col>
      <xdr:colOff>119743</xdr:colOff>
      <xdr:row>62</xdr:row>
      <xdr:rowOff>54429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5F68F4F3-8E03-3176-1858-664196ADE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272</xdr:colOff>
      <xdr:row>42</xdr:row>
      <xdr:rowOff>148862</xdr:rowOff>
    </xdr:from>
    <xdr:to>
      <xdr:col>14</xdr:col>
      <xdr:colOff>413657</xdr:colOff>
      <xdr:row>61</xdr:row>
      <xdr:rowOff>152399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780ADACA-9E73-31FC-2E51-C53E3E0FD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372292</xdr:colOff>
      <xdr:row>63</xdr:row>
      <xdr:rowOff>32929</xdr:rowOff>
    </xdr:from>
    <xdr:to>
      <xdr:col>9</xdr:col>
      <xdr:colOff>97972</xdr:colOff>
      <xdr:row>81</xdr:row>
      <xdr:rowOff>97972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D32895FD-A00B-7D44-3C42-159E7456C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627736</xdr:colOff>
      <xdr:row>24</xdr:row>
      <xdr:rowOff>137816</xdr:rowOff>
    </xdr:from>
    <xdr:to>
      <xdr:col>8</xdr:col>
      <xdr:colOff>245489</xdr:colOff>
      <xdr:row>41</xdr:row>
      <xdr:rowOff>94002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42E43F2-635B-50D1-62FF-3F33B81D0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192924</xdr:rowOff>
    </xdr:from>
    <xdr:to>
      <xdr:col>26</xdr:col>
      <xdr:colOff>275186</xdr:colOff>
      <xdr:row>15</xdr:row>
      <xdr:rowOff>81222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FA58C60-3F04-EF73-B318-1F2BE3159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43122</xdr:colOff>
      <xdr:row>15</xdr:row>
      <xdr:rowOff>167119</xdr:rowOff>
    </xdr:from>
    <xdr:to>
      <xdr:col>26</xdr:col>
      <xdr:colOff>247476</xdr:colOff>
      <xdr:row>29</xdr:row>
      <xdr:rowOff>112742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3708FF7-199B-B5EE-795E-0E677F8F5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27363</xdr:colOff>
      <xdr:row>29</xdr:row>
      <xdr:rowOff>101657</xdr:rowOff>
    </xdr:from>
    <xdr:to>
      <xdr:col>26</xdr:col>
      <xdr:colOff>237432</xdr:colOff>
      <xdr:row>43</xdr:row>
      <xdr:rowOff>15758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71C2835-CDBF-1969-9994-A9D1222D8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294236</xdr:colOff>
      <xdr:row>2</xdr:row>
      <xdr:rowOff>7793</xdr:rowOff>
    </xdr:from>
    <xdr:to>
      <xdr:col>35</xdr:col>
      <xdr:colOff>324196</xdr:colOff>
      <xdr:row>18</xdr:row>
      <xdr:rowOff>58189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0CF94B0-5A13-6F19-310E-50651299E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241761</xdr:colOff>
      <xdr:row>18</xdr:row>
      <xdr:rowOff>51089</xdr:rowOff>
    </xdr:from>
    <xdr:to>
      <xdr:col>35</xdr:col>
      <xdr:colOff>362988</xdr:colOff>
      <xdr:row>35</xdr:row>
      <xdr:rowOff>38793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CDF62AF-5354-AADA-8BBB-8D679C834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282461</xdr:colOff>
      <xdr:row>35</xdr:row>
      <xdr:rowOff>62000</xdr:rowOff>
    </xdr:from>
    <xdr:to>
      <xdr:col>35</xdr:col>
      <xdr:colOff>260464</xdr:colOff>
      <xdr:row>52</xdr:row>
      <xdr:rowOff>146858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54E7E35-CEA0-02B9-A5A9-83B579232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317614</xdr:colOff>
      <xdr:row>56</xdr:row>
      <xdr:rowOff>93690</xdr:rowOff>
    </xdr:from>
    <xdr:to>
      <xdr:col>20</xdr:col>
      <xdr:colOff>579120</xdr:colOff>
      <xdr:row>70</xdr:row>
      <xdr:rowOff>91439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23CA29C-D718-8638-7C45-7A4FB96CA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242802</xdr:colOff>
      <xdr:row>70</xdr:row>
      <xdr:rowOff>68233</xdr:rowOff>
    </xdr:from>
    <xdr:to>
      <xdr:col>20</xdr:col>
      <xdr:colOff>457200</xdr:colOff>
      <xdr:row>85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1F095CE0-5F0B-D53B-6CAD-B1682B79D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201238</xdr:colOff>
      <xdr:row>85</xdr:row>
      <xdr:rowOff>32212</xdr:rowOff>
    </xdr:from>
    <xdr:to>
      <xdr:col>20</xdr:col>
      <xdr:colOff>396240</xdr:colOff>
      <xdr:row>100</xdr:row>
      <xdr:rowOff>152400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2E515B6B-0113-1B68-9CA4-41880B93A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52994</xdr:colOff>
      <xdr:row>56</xdr:row>
      <xdr:rowOff>104255</xdr:rowOff>
    </xdr:from>
    <xdr:to>
      <xdr:col>31</xdr:col>
      <xdr:colOff>152400</xdr:colOff>
      <xdr:row>71</xdr:row>
      <xdr:rowOff>95250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81FCABD5-4271-0E91-BCDC-FEBB08A1D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577734</xdr:colOff>
      <xdr:row>71</xdr:row>
      <xdr:rowOff>18703</xdr:rowOff>
    </xdr:from>
    <xdr:to>
      <xdr:col>30</xdr:col>
      <xdr:colOff>571499</xdr:colOff>
      <xdr:row>85</xdr:row>
      <xdr:rowOff>76200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2601AB09-0288-8FF7-1F30-130EF2617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501880</xdr:colOff>
      <xdr:row>84</xdr:row>
      <xdr:rowOff>113780</xdr:rowOff>
    </xdr:from>
    <xdr:to>
      <xdr:col>30</xdr:col>
      <xdr:colOff>441959</xdr:colOff>
      <xdr:row>101</xdr:row>
      <xdr:rowOff>118110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602D79CF-98C5-77E6-1615-F92B5C50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685453</xdr:colOff>
      <xdr:row>102</xdr:row>
      <xdr:rowOff>107199</xdr:rowOff>
    </xdr:from>
    <xdr:to>
      <xdr:col>21</xdr:col>
      <xdr:colOff>476251</xdr:colOff>
      <xdr:row>118</xdr:row>
      <xdr:rowOff>76201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0C219472-A1A8-B30C-BD0E-8E02177CC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729094</xdr:colOff>
      <xdr:row>118</xdr:row>
      <xdr:rowOff>78450</xdr:rowOff>
    </xdr:from>
    <xdr:to>
      <xdr:col>21</xdr:col>
      <xdr:colOff>476249</xdr:colOff>
      <xdr:row>134</xdr:row>
      <xdr:rowOff>57150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919FB941-FB97-5FB8-1F59-83E9BAC23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709524</xdr:colOff>
      <xdr:row>134</xdr:row>
      <xdr:rowOff>97501</xdr:rowOff>
    </xdr:from>
    <xdr:to>
      <xdr:col>21</xdr:col>
      <xdr:colOff>381000</xdr:colOff>
      <xdr:row>149</xdr:row>
      <xdr:rowOff>95251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47DE3F77-C534-ADEE-AA55-A04D897AC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487852</xdr:colOff>
      <xdr:row>102</xdr:row>
      <xdr:rowOff>64943</xdr:rowOff>
    </xdr:from>
    <xdr:to>
      <xdr:col>31</xdr:col>
      <xdr:colOff>228600</xdr:colOff>
      <xdr:row>119</xdr:row>
      <xdr:rowOff>19050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35E1C828-BAF3-97E0-0F60-2F8B944A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460319</xdr:colOff>
      <xdr:row>119</xdr:row>
      <xdr:rowOff>1732</xdr:rowOff>
    </xdr:from>
    <xdr:to>
      <xdr:col>31</xdr:col>
      <xdr:colOff>266700</xdr:colOff>
      <xdr:row>135</xdr:row>
      <xdr:rowOff>19050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702598AE-D53F-BC2E-9AC1-9BF7CE797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374890</xdr:colOff>
      <xdr:row>135</xdr:row>
      <xdr:rowOff>2004</xdr:rowOff>
    </xdr:from>
    <xdr:to>
      <xdr:col>31</xdr:col>
      <xdr:colOff>228600</xdr:colOff>
      <xdr:row>149</xdr:row>
      <xdr:rowOff>95250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03731FD0-9168-A8C7-6E11-9D0116FDC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177</xdr:col>
      <xdr:colOff>182878</xdr:colOff>
      <xdr:row>127</xdr:row>
      <xdr:rowOff>137157</xdr:rowOff>
    </xdr:from>
    <xdr:to>
      <xdr:col>179</xdr:col>
      <xdr:colOff>107575</xdr:colOff>
      <xdr:row>130</xdr:row>
      <xdr:rowOff>147916</xdr:rowOff>
    </xdr:to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E25DF490-04BE-421B-E327-FD3A9509D778}"/>
            </a:ext>
          </a:extLst>
        </xdr:cNvPr>
        <xdr:cNvSpPr txBox="1"/>
      </xdr:nvSpPr>
      <xdr:spPr>
        <a:xfrm flipH="1" flipV="1">
          <a:off x="116006878" y="20787357"/>
          <a:ext cx="1143897" cy="4679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l-PL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0.77947</cdr:x>
      <cdr:y>0.48154</cdr:y>
    </cdr:from>
    <cdr:to>
      <cdr:x>0.98901</cdr:x>
      <cdr:y>0.68295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0CEC6CA-145A-A4E3-B958-E63AF252C3F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299857" y="1480457"/>
          <a:ext cx="1155884" cy="619224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0.78232</cdr:x>
      <cdr:y>0.49675</cdr:y>
    </cdr:from>
    <cdr:to>
      <cdr:x>0.97759</cdr:x>
      <cdr:y>0.68395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61768ED-A5A6-35D2-162D-A9C925275D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386943" y="1556657"/>
          <a:ext cx="1095005" cy="586610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0.74427</cdr:x>
      <cdr:y>0.48805</cdr:y>
    </cdr:from>
    <cdr:to>
      <cdr:x>0.97972</cdr:x>
      <cdr:y>0.70131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306045E9-372E-4B14-7D43-7330F2801F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66988" y="1529006"/>
          <a:ext cx="1286581" cy="668100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0.68711</cdr:x>
      <cdr:y>0.55548</cdr:y>
    </cdr:from>
    <cdr:to>
      <cdr:x>0.99405</cdr:x>
      <cdr:y>0.90493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18CF3BE5-861E-9253-6EE7-535670C2F37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775858" y="1055914"/>
          <a:ext cx="1239980" cy="664276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0.64949</cdr:x>
      <cdr:y>0.5492</cdr:y>
    </cdr:from>
    <cdr:to>
      <cdr:x>1</cdr:x>
      <cdr:y>0.91094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329D6B9-134E-2E0D-C78B-8F1889D4508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373086" y="1045028"/>
          <a:ext cx="1280704" cy="688324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0.72472</cdr:x>
      <cdr:y>0.44891</cdr:y>
    </cdr:from>
    <cdr:to>
      <cdr:x>1</cdr:x>
      <cdr:y>0.7286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EBDD290-31CD-42D3-B33E-8B5B51A0D36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374471" y="1455723"/>
          <a:ext cx="1661608" cy="906997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0.67968</cdr:x>
      <cdr:y>0.54621</cdr:y>
    </cdr:from>
    <cdr:to>
      <cdr:x>0.9755</cdr:x>
      <cdr:y>0.87867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6A7D2F8-CD01-8D88-A91C-1B757DFBAF3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99657" y="1034142"/>
          <a:ext cx="1174941" cy="629433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0.66246</cdr:x>
      <cdr:y>0.56652</cdr:y>
    </cdr:from>
    <cdr:to>
      <cdr:x>0.96936</cdr:x>
      <cdr:y>0.88607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26EBE4B-0EF3-F34B-1942-4864996DE20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449285" y="1077686"/>
          <a:ext cx="1134687" cy="607868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0.66896</cdr:x>
      <cdr:y>0.5608</cdr:y>
    </cdr:from>
    <cdr:to>
      <cdr:x>0.98398</cdr:x>
      <cdr:y>0.89284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CB487F4D-4167-57D7-4548-4912FECC3C6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503715" y="1066799"/>
          <a:ext cx="1179045" cy="631631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179070</xdr:colOff>
      <xdr:row>3</xdr:row>
      <xdr:rowOff>87630</xdr:rowOff>
    </xdr:from>
    <xdr:to>
      <xdr:col>14</xdr:col>
      <xdr:colOff>600075</xdr:colOff>
      <xdr:row>17</xdr:row>
      <xdr:rowOff>163830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01DB9F-9084-F512-71EB-6E76CBC4E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355146</xdr:colOff>
      <xdr:row>20</xdr:row>
      <xdr:rowOff>166279</xdr:rowOff>
    </xdr:from>
    <xdr:to>
      <xdr:col>19</xdr:col>
      <xdr:colOff>281122</xdr:colOff>
      <xdr:row>45</xdr:row>
      <xdr:rowOff>128723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0F109D8-D5D0-F6AB-88A8-B08ADF1D9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426175</xdr:colOff>
      <xdr:row>65</xdr:row>
      <xdr:rowOff>155938</xdr:rowOff>
    </xdr:from>
    <xdr:to>
      <xdr:col>18</xdr:col>
      <xdr:colOff>250371</xdr:colOff>
      <xdr:row>87</xdr:row>
      <xdr:rowOff>54428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B5D8E5B-2E9F-DE40-ADB3-E8031F00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682262</xdr:colOff>
      <xdr:row>107</xdr:row>
      <xdr:rowOff>83547</xdr:rowOff>
    </xdr:from>
    <xdr:to>
      <xdr:col>18</xdr:col>
      <xdr:colOff>435428</xdr:colOff>
      <xdr:row>132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C67239E-63BE-3445-58E9-4E549538F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0.73513</cdr:x>
      <cdr:y>0.46622</cdr:y>
    </cdr:from>
    <cdr:to>
      <cdr:x>0.98377</cdr:x>
      <cdr:y>0.63596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50F36585-9176-DA89-84B7-BFA5593BAA1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867400" y="2144486"/>
          <a:ext cx="1984476" cy="780778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0.72471</cdr:x>
      <cdr:y>0.47036</cdr:y>
    </cdr:from>
    <cdr:to>
      <cdr:x>0.98952</cdr:x>
      <cdr:y>0.66064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028E5ED-2BCF-C43E-52F2-35458348D0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268685" y="1872343"/>
          <a:ext cx="1925139" cy="757432"/>
        </a:xfrm>
        <a:prstGeom xmlns:a="http://schemas.openxmlformats.org/drawingml/2006/main" prst="rect">
          <a:avLst/>
        </a:prstGeom>
      </cdr:spPr>
    </cdr:pic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0.73538</cdr:x>
      <cdr:y>0.49322</cdr:y>
    </cdr:from>
    <cdr:to>
      <cdr:x>0.99093</cdr:x>
      <cdr:y>0.64143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319B6E79-798C-F4CD-3E98-3986B6541216}"/>
            </a:ext>
          </a:extLst>
        </cdr:cNvPr>
        <cdr:cNvSpPr txBox="1"/>
      </cdr:nvSpPr>
      <cdr:spPr>
        <a:xfrm xmlns:a="http://schemas.openxmlformats.org/drawingml/2006/main">
          <a:off x="5293995" y="2245994"/>
          <a:ext cx="1839685" cy="67491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/>
            <a:t>Actual Operating Expenses</a:t>
          </a:r>
        </a:p>
        <a:p xmlns:a="http://schemas.openxmlformats.org/drawingml/2006/main">
          <a:r>
            <a:rPr lang="pl-PL"/>
            <a:t>Predicted Operating Expenses</a:t>
          </a:r>
          <a:endParaRPr lang="pl-PL" sz="1100" kern="1200"/>
        </a:p>
      </cdr:txBody>
    </cdr:sp>
  </cdr:relSizeAnchor>
  <cdr:relSizeAnchor xmlns:cdr="http://schemas.openxmlformats.org/drawingml/2006/chartDrawing">
    <cdr:from>
      <cdr:x>0.78074</cdr:x>
      <cdr:y>0.41911</cdr:y>
    </cdr:from>
    <cdr:to>
      <cdr:x>0.90776</cdr:x>
      <cdr:y>0.61991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E9BF101A-798E-B663-5A75-9B7057F56289}"/>
            </a:ext>
          </a:extLst>
        </cdr:cNvPr>
        <cdr:cNvSpPr txBox="1"/>
      </cdr:nvSpPr>
      <cdr:spPr>
        <a:xfrm xmlns:a="http://schemas.openxmlformats.org/drawingml/2006/main">
          <a:off x="5620567" y="19085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l-PL" sz="1100" kern="1200"/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45CC-032F-4F85-BB42-984B8C95C941}">
  <dimension ref="A1:H35"/>
  <sheetViews>
    <sheetView workbookViewId="0">
      <selection activeCell="C35" sqref="C35:H35"/>
    </sheetView>
  </sheetViews>
  <sheetFormatPr defaultRowHeight="14.4"/>
  <cols>
    <col min="4" max="4" width="9.6640625" customWidth="1"/>
  </cols>
  <sheetData>
    <row r="1" spans="1:8">
      <c r="A1" s="1" t="s">
        <v>0</v>
      </c>
      <c r="C1" s="243" t="s">
        <v>10</v>
      </c>
      <c r="D1" s="243"/>
    </row>
    <row r="3" spans="1:8">
      <c r="C3" s="3" t="s">
        <v>1</v>
      </c>
      <c r="D3" s="3"/>
    </row>
    <row r="4" spans="1:8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</row>
    <row r="5" spans="1:8">
      <c r="C5">
        <v>111203</v>
      </c>
      <c r="D5">
        <v>86180</v>
      </c>
      <c r="E5">
        <v>131341</v>
      </c>
      <c r="F5">
        <v>282415</v>
      </c>
      <c r="G5">
        <v>372767</v>
      </c>
      <c r="H5">
        <v>151842</v>
      </c>
    </row>
    <row r="7" spans="1:8">
      <c r="C7" s="3" t="s">
        <v>2</v>
      </c>
      <c r="D7" s="3"/>
    </row>
    <row r="8" spans="1:8">
      <c r="C8" s="4">
        <v>2019</v>
      </c>
      <c r="D8" s="5">
        <v>2020</v>
      </c>
      <c r="E8" s="6">
        <v>2021</v>
      </c>
      <c r="F8" s="7">
        <v>2022</v>
      </c>
      <c r="G8" s="8">
        <v>2023</v>
      </c>
      <c r="H8" s="9">
        <v>2024</v>
      </c>
    </row>
    <row r="9" spans="1:8">
      <c r="C9">
        <v>1717</v>
      </c>
      <c r="D9">
        <v>6226</v>
      </c>
      <c r="E9">
        <v>15940</v>
      </c>
      <c r="F9">
        <v>11020</v>
      </c>
      <c r="G9">
        <v>25583</v>
      </c>
      <c r="H9">
        <v>3121</v>
      </c>
    </row>
    <row r="11" spans="1:8">
      <c r="C11" s="3" t="s">
        <v>3</v>
      </c>
      <c r="D11" s="3"/>
    </row>
    <row r="12" spans="1:8">
      <c r="C12" s="4">
        <v>2019</v>
      </c>
      <c r="D12" s="5">
        <v>2020</v>
      </c>
      <c r="E12" s="6">
        <v>2021</v>
      </c>
      <c r="F12" s="7">
        <v>2022</v>
      </c>
      <c r="G12" s="8">
        <v>2023</v>
      </c>
      <c r="H12" s="9">
        <v>2024</v>
      </c>
    </row>
    <row r="13" spans="1:8">
      <c r="C13">
        <v>5352</v>
      </c>
      <c r="D13">
        <v>2856</v>
      </c>
      <c r="E13">
        <v>13683</v>
      </c>
      <c r="F13">
        <v>47831</v>
      </c>
      <c r="G13">
        <v>30314</v>
      </c>
      <c r="H13">
        <f>4528+1070</f>
        <v>5598</v>
      </c>
    </row>
    <row r="15" spans="1:8">
      <c r="C15" s="3" t="s">
        <v>4</v>
      </c>
      <c r="D15" s="3"/>
    </row>
    <row r="16" spans="1:8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</row>
    <row r="17" spans="3:8">
      <c r="C17">
        <v>4298</v>
      </c>
      <c r="D17">
        <v>2825</v>
      </c>
      <c r="E17">
        <v>11188</v>
      </c>
      <c r="F17">
        <v>39819</v>
      </c>
      <c r="G17">
        <v>20727</v>
      </c>
      <c r="H17">
        <f>2798+26</f>
        <v>2824</v>
      </c>
    </row>
    <row r="19" spans="3:8">
      <c r="C19" s="2" t="s">
        <v>5</v>
      </c>
    </row>
    <row r="21" spans="3:8">
      <c r="C21" s="3" t="s">
        <v>6</v>
      </c>
      <c r="D21" s="3"/>
    </row>
    <row r="22" spans="3:8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</row>
    <row r="23" spans="3:8">
      <c r="C23">
        <v>71202</v>
      </c>
      <c r="D23">
        <v>84048</v>
      </c>
      <c r="E23">
        <v>106754</v>
      </c>
      <c r="F23">
        <v>313177</v>
      </c>
      <c r="G23">
        <v>264178</v>
      </c>
      <c r="H23">
        <v>254538</v>
      </c>
    </row>
    <row r="25" spans="3:8">
      <c r="C25" s="3" t="s">
        <v>7</v>
      </c>
      <c r="D25" s="3"/>
    </row>
    <row r="26" spans="3:8">
      <c r="C26" s="4">
        <v>2019</v>
      </c>
      <c r="D26" s="5">
        <v>2020</v>
      </c>
      <c r="E26" s="6">
        <v>2021</v>
      </c>
      <c r="F26" s="7">
        <v>2022</v>
      </c>
      <c r="G26" s="8">
        <v>2023</v>
      </c>
      <c r="H26" s="9">
        <v>2024</v>
      </c>
    </row>
    <row r="27" spans="3:8">
      <c r="C27">
        <v>38607</v>
      </c>
      <c r="D27">
        <v>42389</v>
      </c>
      <c r="E27">
        <v>52578</v>
      </c>
      <c r="F27" s="10">
        <v>143110</v>
      </c>
      <c r="G27" s="10">
        <v>153180</v>
      </c>
      <c r="H27">
        <v>146689</v>
      </c>
    </row>
    <row r="29" spans="3:8">
      <c r="C29" s="3" t="s">
        <v>8</v>
      </c>
      <c r="D29" s="3"/>
    </row>
    <row r="30" spans="3:8">
      <c r="C30" s="4">
        <v>2019</v>
      </c>
      <c r="D30" s="5">
        <v>2020</v>
      </c>
      <c r="E30" s="6">
        <v>2021</v>
      </c>
      <c r="F30" s="7">
        <v>2022</v>
      </c>
      <c r="G30" s="8">
        <v>2023</v>
      </c>
      <c r="H30" s="9">
        <v>2024</v>
      </c>
    </row>
    <row r="31" spans="3:8">
      <c r="C31">
        <v>32595</v>
      </c>
      <c r="D31">
        <v>41569</v>
      </c>
      <c r="E31">
        <v>54176</v>
      </c>
      <c r="F31" s="10">
        <v>170067</v>
      </c>
      <c r="G31" s="10">
        <v>110998</v>
      </c>
      <c r="H31">
        <v>107849</v>
      </c>
    </row>
    <row r="33" spans="3:8">
      <c r="C33" s="3" t="s">
        <v>9</v>
      </c>
      <c r="D33" s="3"/>
    </row>
    <row r="34" spans="3:8">
      <c r="C34" s="4">
        <v>2019</v>
      </c>
      <c r="D34" s="5">
        <v>2020</v>
      </c>
      <c r="E34" s="6">
        <v>2021</v>
      </c>
      <c r="F34" s="7">
        <v>2022</v>
      </c>
      <c r="G34" s="8">
        <v>2023</v>
      </c>
      <c r="H34" s="9">
        <v>2024</v>
      </c>
    </row>
    <row r="35" spans="3:8">
      <c r="C35">
        <v>15074</v>
      </c>
      <c r="D35">
        <v>12279</v>
      </c>
      <c r="E35">
        <v>18410</v>
      </c>
      <c r="F35" s="10">
        <v>33086</v>
      </c>
      <c r="G35" s="10">
        <v>23726</v>
      </c>
      <c r="H35">
        <v>21162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DDF8-1B2A-4B1E-9800-5AC70151CA30}">
  <dimension ref="A1:H35"/>
  <sheetViews>
    <sheetView zoomScale="91" zoomScaleNormal="91" workbookViewId="0">
      <selection activeCell="J30" sqref="J30"/>
    </sheetView>
  </sheetViews>
  <sheetFormatPr defaultRowHeight="14.4"/>
  <cols>
    <col min="1" max="1" width="11.6640625" customWidth="1"/>
    <col min="3" max="3" width="18.5546875" bestFit="1" customWidth="1"/>
    <col min="4" max="8" width="9.88671875" bestFit="1" customWidth="1"/>
  </cols>
  <sheetData>
    <row r="1" spans="1:8">
      <c r="A1" s="1" t="s">
        <v>11</v>
      </c>
      <c r="C1" s="243" t="s">
        <v>10</v>
      </c>
      <c r="D1" s="243"/>
    </row>
    <row r="3" spans="1:8">
      <c r="C3" s="3" t="s">
        <v>1</v>
      </c>
      <c r="D3" s="3"/>
    </row>
    <row r="4" spans="1:8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</row>
    <row r="5" spans="1:8">
      <c r="C5" s="10">
        <f>521272/1000</f>
        <v>521.27200000000005</v>
      </c>
      <c r="D5" s="10">
        <f>2138875/1000</f>
        <v>2138.875</v>
      </c>
      <c r="E5" s="10">
        <f>888172/1000</f>
        <v>888.17200000000003</v>
      </c>
      <c r="F5" s="60">
        <f>952576/1000</f>
        <v>952.57600000000002</v>
      </c>
      <c r="G5" s="60">
        <f>1230199/1000</f>
        <v>1230.1990000000001</v>
      </c>
      <c r="H5" s="60">
        <f>985030/1000</f>
        <v>985.03</v>
      </c>
    </row>
    <row r="7" spans="1:8">
      <c r="C7" s="3" t="s">
        <v>2</v>
      </c>
      <c r="D7" s="3"/>
    </row>
    <row r="8" spans="1:8">
      <c r="C8" s="4">
        <v>2019</v>
      </c>
      <c r="D8" s="5">
        <v>2020</v>
      </c>
      <c r="E8" s="6">
        <v>2021</v>
      </c>
      <c r="F8" s="7">
        <v>2022</v>
      </c>
      <c r="G8" s="8">
        <v>2023</v>
      </c>
      <c r="H8" s="9">
        <v>2024</v>
      </c>
    </row>
    <row r="9" spans="1:8">
      <c r="C9" s="10">
        <v>187.95699999999999</v>
      </c>
      <c r="D9" s="10">
        <v>498.87200000000001</v>
      </c>
      <c r="E9" s="10">
        <v>422.40499999999997</v>
      </c>
      <c r="F9" s="10">
        <v>351.351</v>
      </c>
      <c r="G9" s="10">
        <v>434.63900000000001</v>
      </c>
      <c r="H9" s="10">
        <v>401.21699999999998</v>
      </c>
    </row>
    <row r="11" spans="1:8">
      <c r="C11" s="3" t="s">
        <v>3</v>
      </c>
      <c r="D11" s="3"/>
    </row>
    <row r="12" spans="1:8">
      <c r="C12" s="4">
        <v>2019</v>
      </c>
      <c r="D12" s="5">
        <v>2020</v>
      </c>
      <c r="E12" s="6">
        <v>2021</v>
      </c>
      <c r="F12" s="7">
        <v>2022</v>
      </c>
      <c r="G12" s="8">
        <v>2023</v>
      </c>
      <c r="H12" s="9">
        <v>2024</v>
      </c>
    </row>
    <row r="13" spans="1:8">
      <c r="C13" s="10">
        <v>189.16200000000001</v>
      </c>
      <c r="D13" s="10">
        <v>1164.9490000000001</v>
      </c>
      <c r="E13" s="10">
        <v>219.108</v>
      </c>
      <c r="F13" s="10">
        <v>392.52499999999998</v>
      </c>
      <c r="G13" s="10">
        <v>538.49199999999996</v>
      </c>
      <c r="H13" s="10">
        <v>430.084</v>
      </c>
    </row>
    <row r="15" spans="1:8">
      <c r="C15" s="3" t="s">
        <v>4</v>
      </c>
      <c r="D15" s="3"/>
    </row>
    <row r="16" spans="1:8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</row>
    <row r="17" spans="3:8">
      <c r="C17" s="10">
        <v>175.315</v>
      </c>
      <c r="D17" s="10">
        <v>1150.1479999999999</v>
      </c>
      <c r="E17" s="12">
        <v>208.90799999999999</v>
      </c>
      <c r="F17" s="10">
        <v>346.49099999999999</v>
      </c>
      <c r="G17" s="10">
        <v>481.10500000000002</v>
      </c>
      <c r="H17" s="10">
        <v>469.87400000000002</v>
      </c>
    </row>
    <row r="19" spans="3:8">
      <c r="C19" s="2" t="s">
        <v>5</v>
      </c>
    </row>
    <row r="21" spans="3:8">
      <c r="C21" s="3" t="s">
        <v>6</v>
      </c>
      <c r="D21" s="3"/>
    </row>
    <row r="22" spans="3:8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</row>
    <row r="23" spans="3:8">
      <c r="C23" s="10">
        <v>1404.1079999999999</v>
      </c>
      <c r="D23" s="10">
        <v>2890.299</v>
      </c>
      <c r="E23" s="10">
        <v>2158.7350000000001</v>
      </c>
      <c r="F23" s="10">
        <v>2276.3310000000001</v>
      </c>
      <c r="G23" s="10">
        <v>2613.4380000000001</v>
      </c>
      <c r="H23" s="10">
        <v>3042.424</v>
      </c>
    </row>
    <row r="25" spans="3:8">
      <c r="C25" s="3" t="s">
        <v>7</v>
      </c>
      <c r="D25" s="3"/>
    </row>
    <row r="26" spans="3:8">
      <c r="C26" s="4">
        <v>2019</v>
      </c>
      <c r="D26" s="5">
        <v>2020</v>
      </c>
      <c r="E26" s="6">
        <v>2021</v>
      </c>
      <c r="F26" s="7">
        <v>2022</v>
      </c>
      <c r="G26" s="8">
        <v>2023</v>
      </c>
      <c r="H26" s="9">
        <v>2024</v>
      </c>
    </row>
    <row r="27" spans="3:8">
      <c r="C27" s="10">
        <v>1105.6510000000001</v>
      </c>
      <c r="D27" s="10">
        <v>2183.1770000000001</v>
      </c>
      <c r="E27" s="10">
        <v>1894.356</v>
      </c>
      <c r="F27" s="10">
        <v>2031.4659999999999</v>
      </c>
      <c r="G27" s="10">
        <v>2403.4899999999998</v>
      </c>
      <c r="H27" s="10">
        <v>2800.6669999999999</v>
      </c>
    </row>
    <row r="29" spans="3:8">
      <c r="C29" s="3" t="s">
        <v>8</v>
      </c>
      <c r="D29" s="3"/>
    </row>
    <row r="30" spans="3:8">
      <c r="C30" s="4">
        <v>2019</v>
      </c>
      <c r="D30" s="5">
        <v>2020</v>
      </c>
      <c r="E30" s="6">
        <v>2021</v>
      </c>
      <c r="F30" s="7">
        <v>2022</v>
      </c>
      <c r="G30" s="8">
        <v>2023</v>
      </c>
      <c r="H30" s="9">
        <v>2024</v>
      </c>
    </row>
    <row r="31" spans="3:8">
      <c r="C31" s="10">
        <v>298.45699999999999</v>
      </c>
      <c r="D31" s="10">
        <v>707.12199999999996</v>
      </c>
      <c r="E31" s="10">
        <v>264.37900000000002</v>
      </c>
      <c r="F31" s="10">
        <v>244.86500000000001</v>
      </c>
      <c r="G31" s="10">
        <v>209.94800000000001</v>
      </c>
      <c r="H31" s="10">
        <v>241.75700000000001</v>
      </c>
    </row>
    <row r="33" spans="3:8">
      <c r="C33" s="3" t="s">
        <v>9</v>
      </c>
      <c r="D33" s="3"/>
    </row>
    <row r="34" spans="3:8">
      <c r="C34" s="4">
        <v>2019</v>
      </c>
      <c r="D34" s="5">
        <v>2020</v>
      </c>
      <c r="E34" s="6">
        <v>2021</v>
      </c>
      <c r="F34" s="7">
        <v>2022</v>
      </c>
      <c r="G34" s="8">
        <v>2023</v>
      </c>
      <c r="H34" s="9">
        <v>2024</v>
      </c>
    </row>
    <row r="35" spans="3:8">
      <c r="C35" s="10">
        <v>12.862</v>
      </c>
      <c r="D35" s="10">
        <v>6.9569999999999999</v>
      </c>
      <c r="E35" s="10">
        <v>15.885999999999999</v>
      </c>
      <c r="F35" s="10">
        <v>12.701000000000001</v>
      </c>
      <c r="G35" s="10">
        <v>3.5760000000000001</v>
      </c>
      <c r="H35" s="10">
        <v>1.802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0EB0-E583-4E11-8E3B-131D228D67A9}">
  <dimension ref="A1:H35"/>
  <sheetViews>
    <sheetView zoomScale="89" zoomScaleNormal="89" workbookViewId="0">
      <selection activeCell="J24" sqref="J24"/>
    </sheetView>
  </sheetViews>
  <sheetFormatPr defaultRowHeight="14.4"/>
  <sheetData>
    <row r="1" spans="1:8">
      <c r="A1" s="1" t="s">
        <v>12</v>
      </c>
      <c r="C1" s="243" t="s">
        <v>10</v>
      </c>
      <c r="D1" s="243"/>
    </row>
    <row r="3" spans="1:8">
      <c r="C3" s="3" t="s">
        <v>1</v>
      </c>
      <c r="D3" s="3"/>
    </row>
    <row r="4" spans="1:8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</row>
    <row r="5" spans="1:8">
      <c r="C5" s="12">
        <v>8755</v>
      </c>
      <c r="D5" s="12">
        <v>9899</v>
      </c>
      <c r="E5" s="12">
        <v>7848</v>
      </c>
      <c r="F5" s="12">
        <v>14029</v>
      </c>
      <c r="G5" s="12">
        <v>17406</v>
      </c>
      <c r="H5" s="10">
        <v>20194</v>
      </c>
    </row>
    <row r="7" spans="1:8">
      <c r="C7" s="3" t="s">
        <v>2</v>
      </c>
      <c r="D7" s="3"/>
    </row>
    <row r="8" spans="1:8">
      <c r="C8" s="4">
        <v>2019</v>
      </c>
      <c r="D8" s="5">
        <v>2020</v>
      </c>
      <c r="E8" s="6">
        <v>2021</v>
      </c>
      <c r="F8" s="7">
        <v>2022</v>
      </c>
      <c r="G8" s="8">
        <v>2023</v>
      </c>
      <c r="H8" s="9">
        <v>2024</v>
      </c>
    </row>
    <row r="9" spans="1:8">
      <c r="C9" s="10">
        <v>7696</v>
      </c>
      <c r="D9" s="10">
        <v>8655</v>
      </c>
      <c r="E9" s="12">
        <v>8092</v>
      </c>
      <c r="F9" s="12">
        <v>10011</v>
      </c>
      <c r="G9" s="10">
        <v>15190</v>
      </c>
      <c r="H9" s="10">
        <v>17919</v>
      </c>
    </row>
    <row r="11" spans="1:8">
      <c r="C11" s="3" t="s">
        <v>3</v>
      </c>
      <c r="D11" s="3"/>
    </row>
    <row r="12" spans="1:8">
      <c r="C12" s="4">
        <v>2019</v>
      </c>
      <c r="D12" s="5">
        <v>2020</v>
      </c>
      <c r="E12" s="6">
        <v>2021</v>
      </c>
      <c r="F12" s="7">
        <v>2022</v>
      </c>
      <c r="G12" s="8">
        <v>2023</v>
      </c>
      <c r="H12" s="9">
        <v>2024</v>
      </c>
    </row>
    <row r="13" spans="1:8">
      <c r="C13">
        <v>656</v>
      </c>
      <c r="D13" s="11">
        <v>665</v>
      </c>
      <c r="E13">
        <v>-116</v>
      </c>
      <c r="F13" s="12">
        <v>1232</v>
      </c>
      <c r="G13" s="12">
        <v>2047</v>
      </c>
      <c r="H13" s="10">
        <v>2251</v>
      </c>
    </row>
    <row r="15" spans="1:8">
      <c r="C15" s="3" t="s">
        <v>4</v>
      </c>
      <c r="D15" s="3"/>
    </row>
    <row r="16" spans="1:8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</row>
    <row r="17" spans="3:8">
      <c r="C17" s="11">
        <v>442</v>
      </c>
      <c r="D17" s="11">
        <v>421</v>
      </c>
      <c r="E17">
        <v>-190</v>
      </c>
      <c r="F17" s="11">
        <v>953</v>
      </c>
      <c r="G17" s="12">
        <v>1612</v>
      </c>
      <c r="H17" s="13">
        <v>1747</v>
      </c>
    </row>
    <row r="19" spans="3:8">
      <c r="C19" s="2" t="s">
        <v>5</v>
      </c>
    </row>
    <row r="21" spans="3:8">
      <c r="C21" s="3" t="s">
        <v>6</v>
      </c>
      <c r="D21" s="3"/>
    </row>
    <row r="22" spans="3:8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</row>
    <row r="23" spans="3:8">
      <c r="C23" s="10">
        <v>7906</v>
      </c>
      <c r="D23" s="12">
        <v>9606</v>
      </c>
      <c r="E23" s="10">
        <v>10354</v>
      </c>
      <c r="F23" s="12">
        <v>14135</v>
      </c>
      <c r="G23" s="12">
        <v>13802</v>
      </c>
      <c r="H23">
        <v>17501</v>
      </c>
    </row>
    <row r="25" spans="3:8">
      <c r="C25" s="3" t="s">
        <v>7</v>
      </c>
      <c r="D25" s="3"/>
    </row>
    <row r="26" spans="3:8">
      <c r="C26" s="4">
        <v>2019</v>
      </c>
      <c r="D26" s="5">
        <v>2020</v>
      </c>
      <c r="E26" s="6">
        <v>2021</v>
      </c>
      <c r="F26" s="7">
        <v>2022</v>
      </c>
      <c r="G26" s="8">
        <v>2023</v>
      </c>
      <c r="H26" s="9">
        <v>2024</v>
      </c>
    </row>
    <row r="27" spans="3:8">
      <c r="C27" s="12">
        <v>2815</v>
      </c>
      <c r="D27" s="12">
        <v>3247</v>
      </c>
      <c r="E27" s="12">
        <v>3068</v>
      </c>
      <c r="F27" s="10">
        <v>3272</v>
      </c>
      <c r="G27" s="12">
        <v>4717</v>
      </c>
      <c r="H27">
        <v>5302</v>
      </c>
    </row>
    <row r="29" spans="3:8">
      <c r="C29" s="3" t="s">
        <v>8</v>
      </c>
      <c r="D29" s="3"/>
    </row>
    <row r="30" spans="3:8">
      <c r="C30" s="4">
        <v>2019</v>
      </c>
      <c r="D30" s="5">
        <v>2020</v>
      </c>
      <c r="E30" s="6">
        <v>2021</v>
      </c>
      <c r="F30" s="7">
        <v>2022</v>
      </c>
      <c r="G30" s="8">
        <v>2023</v>
      </c>
      <c r="H30" s="9">
        <v>2024</v>
      </c>
    </row>
    <row r="31" spans="3:8">
      <c r="C31" s="10">
        <v>5090</v>
      </c>
      <c r="D31" s="10">
        <v>6358</v>
      </c>
      <c r="E31" s="10">
        <v>7285</v>
      </c>
      <c r="F31" s="10">
        <v>10862</v>
      </c>
      <c r="G31" s="10">
        <v>9085</v>
      </c>
      <c r="H31" s="10">
        <v>12199</v>
      </c>
    </row>
    <row r="33" spans="3:8">
      <c r="C33" s="3" t="s">
        <v>9</v>
      </c>
      <c r="D33" s="3"/>
    </row>
    <row r="34" spans="3:8">
      <c r="C34" s="4">
        <v>2019</v>
      </c>
      <c r="D34" s="5">
        <v>2020</v>
      </c>
      <c r="E34" s="6">
        <v>2021</v>
      </c>
      <c r="F34" s="7">
        <v>2022</v>
      </c>
      <c r="G34" s="8">
        <v>2023</v>
      </c>
      <c r="H34" s="9">
        <v>2024</v>
      </c>
    </row>
    <row r="35" spans="3:8">
      <c r="C35" s="12">
        <v>1160</v>
      </c>
      <c r="D35" s="12">
        <v>1431</v>
      </c>
      <c r="E35" s="12" t="s">
        <v>14</v>
      </c>
      <c r="F35" s="12">
        <v>3864</v>
      </c>
      <c r="G35" s="12">
        <v>3040</v>
      </c>
      <c r="H35">
        <v>4669</v>
      </c>
    </row>
  </sheetData>
  <mergeCells count="1"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939D-13DE-4D7A-8D81-694DE50A946B}">
  <dimension ref="B1:V55"/>
  <sheetViews>
    <sheetView topLeftCell="F1" zoomScaleNormal="100" workbookViewId="0">
      <selection activeCell="M5" sqref="M5:S29"/>
    </sheetView>
  </sheetViews>
  <sheetFormatPr defaultRowHeight="14.4"/>
  <cols>
    <col min="1" max="1" width="13.6640625" customWidth="1"/>
    <col min="2" max="2" width="11.109375" customWidth="1"/>
    <col min="3" max="3" width="18.5546875" bestFit="1" customWidth="1"/>
    <col min="4" max="4" width="9.6640625" customWidth="1"/>
    <col min="5" max="5" width="9.6640625" bestFit="1" customWidth="1"/>
    <col min="6" max="6" width="10.6640625" bestFit="1" customWidth="1"/>
    <col min="7" max="7" width="12.33203125" bestFit="1" customWidth="1"/>
    <col min="8" max="8" width="9.44140625" bestFit="1" customWidth="1"/>
    <col min="10" max="10" width="10.6640625" bestFit="1" customWidth="1"/>
    <col min="11" max="11" width="11" customWidth="1"/>
    <col min="13" max="13" width="18.88671875" bestFit="1" customWidth="1"/>
    <col min="14" max="15" width="12.88671875" bestFit="1" customWidth="1"/>
    <col min="16" max="16" width="13.44140625" bestFit="1" customWidth="1"/>
    <col min="17" max="19" width="12.88671875" bestFit="1" customWidth="1"/>
    <col min="23" max="23" width="14.109375" customWidth="1"/>
    <col min="24" max="24" width="20" customWidth="1"/>
  </cols>
  <sheetData>
    <row r="1" spans="2:20">
      <c r="C1" s="243" t="s">
        <v>10</v>
      </c>
      <c r="D1" s="243"/>
    </row>
    <row r="3" spans="2:20">
      <c r="C3" s="3" t="s">
        <v>1</v>
      </c>
      <c r="D3" s="3"/>
    </row>
    <row r="4" spans="2:20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  <c r="N4" s="22" t="s">
        <v>18</v>
      </c>
    </row>
    <row r="5" spans="2:20">
      <c r="B5" s="15" t="s">
        <v>12</v>
      </c>
      <c r="C5" s="12">
        <v>8755</v>
      </c>
      <c r="D5" s="12">
        <v>9899</v>
      </c>
      <c r="E5" s="12">
        <v>7848</v>
      </c>
      <c r="F5" s="12">
        <v>14029</v>
      </c>
      <c r="G5" s="12">
        <v>17406</v>
      </c>
      <c r="H5" s="10">
        <v>20194</v>
      </c>
      <c r="M5" s="18" t="s">
        <v>17</v>
      </c>
      <c r="N5" s="35">
        <v>2019</v>
      </c>
      <c r="O5" s="31">
        <v>2020</v>
      </c>
      <c r="P5" s="32">
        <v>2021</v>
      </c>
      <c r="Q5" s="33">
        <v>2022</v>
      </c>
      <c r="R5" s="34">
        <v>2023</v>
      </c>
      <c r="S5" s="36">
        <v>2024</v>
      </c>
    </row>
    <row r="6" spans="2:20">
      <c r="B6" s="16" t="s">
        <v>15</v>
      </c>
      <c r="C6">
        <v>111203</v>
      </c>
      <c r="D6">
        <v>86180</v>
      </c>
      <c r="E6">
        <v>131341</v>
      </c>
      <c r="F6">
        <v>282415</v>
      </c>
      <c r="G6">
        <v>372767</v>
      </c>
      <c r="H6">
        <v>151842</v>
      </c>
      <c r="M6" s="43" t="s">
        <v>12</v>
      </c>
      <c r="N6" s="15"/>
      <c r="O6" s="15"/>
      <c r="P6" s="15"/>
      <c r="Q6" s="15"/>
      <c r="R6" s="15"/>
      <c r="S6" s="29"/>
    </row>
    <row r="7" spans="2:20">
      <c r="B7" s="17" t="s">
        <v>16</v>
      </c>
      <c r="C7" s="10">
        <f>521272/1000</f>
        <v>521.27200000000005</v>
      </c>
      <c r="D7" s="10">
        <f>2138875/1000</f>
        <v>2138.875</v>
      </c>
      <c r="E7" s="10">
        <f>888172/1000</f>
        <v>888.17200000000003</v>
      </c>
      <c r="F7" s="60">
        <f>952576/1000</f>
        <v>952.57600000000002</v>
      </c>
      <c r="G7" s="60">
        <f>1230199/1000</f>
        <v>1230.1990000000001</v>
      </c>
      <c r="H7" s="60">
        <f>985030/1000</f>
        <v>985.03</v>
      </c>
      <c r="M7" s="22" t="s">
        <v>19</v>
      </c>
      <c r="N7" s="44">
        <f t="shared" ref="N7:S7" si="0">C23/C5</f>
        <v>5.0485436893203881E-2</v>
      </c>
      <c r="O7" s="37">
        <f t="shared" si="0"/>
        <v>4.2529548439236287E-2</v>
      </c>
      <c r="P7" s="37">
        <f t="shared" si="0"/>
        <v>-2.4209989806320081E-2</v>
      </c>
      <c r="Q7" s="37">
        <f t="shared" si="0"/>
        <v>6.7930714947608523E-2</v>
      </c>
      <c r="R7" s="37">
        <f t="shared" si="0"/>
        <v>9.2611743077099851E-2</v>
      </c>
      <c r="S7" s="38">
        <f t="shared" si="0"/>
        <v>8.6510844805387732E-2</v>
      </c>
    </row>
    <row r="8" spans="2:20">
      <c r="M8" s="30" t="s">
        <v>20</v>
      </c>
      <c r="N8" s="39">
        <f t="shared" ref="N8:S8" si="1">C23/C39</f>
        <v>0.15701598579040851</v>
      </c>
      <c r="O8" s="39">
        <f t="shared" si="1"/>
        <v>0.12965814598090544</v>
      </c>
      <c r="P8" s="39">
        <f t="shared" si="1"/>
        <v>-6.1929595827900911E-2</v>
      </c>
      <c r="Q8" s="39">
        <f t="shared" si="1"/>
        <v>0.29125916870415647</v>
      </c>
      <c r="R8" s="39">
        <f t="shared" si="1"/>
        <v>0.34174263302946789</v>
      </c>
      <c r="S8" s="40">
        <f t="shared" si="1"/>
        <v>0.32949830252734819</v>
      </c>
    </row>
    <row r="9" spans="2:20">
      <c r="C9" s="3" t="s">
        <v>2</v>
      </c>
      <c r="D9" s="3"/>
      <c r="M9" s="30" t="s">
        <v>21</v>
      </c>
      <c r="N9" s="39">
        <f t="shared" ref="N9:S9" si="2">C23/C32</f>
        <v>5.590690614722995E-2</v>
      </c>
      <c r="O9" s="39">
        <f t="shared" si="2"/>
        <v>4.3826774932333959E-2</v>
      </c>
      <c r="P9" s="39">
        <f t="shared" si="2"/>
        <v>-1.8350395982229092E-2</v>
      </c>
      <c r="Q9" s="39">
        <f t="shared" si="2"/>
        <v>6.7421294658648739E-2</v>
      </c>
      <c r="R9" s="39">
        <f t="shared" si="2"/>
        <v>0.11679466743950152</v>
      </c>
      <c r="S9" s="40">
        <f t="shared" si="2"/>
        <v>9.9822867264727735E-2</v>
      </c>
    </row>
    <row r="10" spans="2:20">
      <c r="C10" s="4">
        <v>2019</v>
      </c>
      <c r="D10" s="5">
        <v>2020</v>
      </c>
      <c r="E10" s="6">
        <v>2021</v>
      </c>
      <c r="F10" s="7">
        <v>2022</v>
      </c>
      <c r="G10" s="8">
        <v>2023</v>
      </c>
      <c r="H10" s="9">
        <v>2024</v>
      </c>
      <c r="M10" s="30" t="s">
        <v>22</v>
      </c>
      <c r="N10" s="39">
        <f t="shared" ref="N10:S10" si="3">C17/C5</f>
        <v>7.492861222158767E-2</v>
      </c>
      <c r="O10" s="39">
        <f t="shared" si="3"/>
        <v>6.71785028790787E-2</v>
      </c>
      <c r="P10" s="39">
        <f t="shared" si="3"/>
        <v>-1.4780835881753314E-2</v>
      </c>
      <c r="Q10" s="39">
        <f t="shared" si="3"/>
        <v>8.7818091097013329E-2</v>
      </c>
      <c r="R10" s="39">
        <f t="shared" si="3"/>
        <v>0.11760312535907158</v>
      </c>
      <c r="S10" s="40">
        <f t="shared" si="3"/>
        <v>0.11146875309497871</v>
      </c>
      <c r="T10" s="10"/>
    </row>
    <row r="11" spans="2:20">
      <c r="B11" s="15" t="s">
        <v>12</v>
      </c>
      <c r="C11" s="10">
        <v>7696</v>
      </c>
      <c r="D11" s="10">
        <v>8655</v>
      </c>
      <c r="E11" s="12">
        <v>8092</v>
      </c>
      <c r="F11" s="12">
        <v>10011</v>
      </c>
      <c r="G11" s="10">
        <v>15190</v>
      </c>
      <c r="H11" s="10">
        <v>17919</v>
      </c>
      <c r="M11" s="20" t="s">
        <v>23</v>
      </c>
      <c r="N11" s="45">
        <f>(D5 / C5) - 1</f>
        <v>0.1306681896059394</v>
      </c>
      <c r="O11" s="39">
        <f>(E5 / D5) - 1</f>
        <v>-0.20719264572179008</v>
      </c>
      <c r="P11" s="39">
        <f>(F5 / E5) - 1</f>
        <v>0.78758919469928634</v>
      </c>
      <c r="Q11" s="39">
        <f>(G5 / F5) - 1</f>
        <v>0.24071566041770609</v>
      </c>
      <c r="R11" s="39">
        <f>(H5 / G5) - 1</f>
        <v>0.16017465241870621</v>
      </c>
      <c r="S11" s="40"/>
    </row>
    <row r="12" spans="2:20">
      <c r="B12" s="16" t="s">
        <v>15</v>
      </c>
      <c r="C12">
        <v>1717</v>
      </c>
      <c r="D12">
        <v>6226</v>
      </c>
      <c r="E12">
        <v>15940</v>
      </c>
      <c r="F12">
        <v>11020</v>
      </c>
      <c r="G12">
        <v>25583</v>
      </c>
      <c r="H12">
        <v>3121</v>
      </c>
      <c r="M12" s="20" t="s">
        <v>24</v>
      </c>
      <c r="N12" s="45">
        <f>(D23/C23)-1</f>
        <v>-4.7511312217194623E-2</v>
      </c>
      <c r="O12" s="39">
        <f>(E23/D23)-1</f>
        <v>-1.4513064133016627</v>
      </c>
      <c r="P12" s="39">
        <f>(F23/E23)-1</f>
        <v>-6.0157894736842108</v>
      </c>
      <c r="Q12" s="39">
        <f>(G23/F23)-1</f>
        <v>0.6915005246589716</v>
      </c>
      <c r="R12" s="39">
        <f>(H23/G23)-1</f>
        <v>8.3746898263027392E-2</v>
      </c>
      <c r="S12" s="40"/>
    </row>
    <row r="13" spans="2:20">
      <c r="B13" s="17" t="s">
        <v>16</v>
      </c>
      <c r="C13" s="10">
        <v>187.95699999999999</v>
      </c>
      <c r="D13" s="10">
        <v>498.87200000000001</v>
      </c>
      <c r="E13" s="10">
        <v>422.40499999999997</v>
      </c>
      <c r="F13" s="10">
        <v>351.351</v>
      </c>
      <c r="G13" s="10">
        <v>434.63900000000001</v>
      </c>
      <c r="H13" s="10">
        <v>401.21699999999998</v>
      </c>
      <c r="M13" s="20" t="s">
        <v>25</v>
      </c>
      <c r="N13" s="244">
        <f>(H5/C5)^(1/5)-1</f>
        <v>0.18193403913074224</v>
      </c>
      <c r="O13" s="245"/>
      <c r="P13" s="245"/>
      <c r="Q13" s="245"/>
      <c r="R13" s="245"/>
      <c r="S13" s="246"/>
    </row>
    <row r="14" spans="2:20">
      <c r="M14" s="20" t="s">
        <v>26</v>
      </c>
      <c r="N14" s="244">
        <f>(H23/C23)^(1/5)-1</f>
        <v>0.31635833334031838</v>
      </c>
      <c r="O14" s="245"/>
      <c r="P14" s="245"/>
      <c r="Q14" s="245"/>
      <c r="R14" s="245"/>
      <c r="S14" s="246"/>
    </row>
    <row r="15" spans="2:20">
      <c r="C15" s="3" t="s">
        <v>3</v>
      </c>
      <c r="D15" s="3"/>
      <c r="M15" s="21" t="s">
        <v>27</v>
      </c>
      <c r="N15" s="51">
        <f t="shared" ref="N15:S15" si="4">(C5/$C$5)</f>
        <v>1</v>
      </c>
      <c r="O15" s="50">
        <f t="shared" si="4"/>
        <v>1.1306681896059394</v>
      </c>
      <c r="P15" s="50">
        <f t="shared" si="4"/>
        <v>0.89640205596801825</v>
      </c>
      <c r="Q15" s="50">
        <f t="shared" si="4"/>
        <v>1.6023986293546544</v>
      </c>
      <c r="R15" s="50">
        <f t="shared" si="4"/>
        <v>1.9881210736721873</v>
      </c>
      <c r="S15" s="52">
        <f t="shared" si="4"/>
        <v>2.3065676756139348</v>
      </c>
    </row>
    <row r="16" spans="2:20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  <c r="M16" s="56" t="s">
        <v>15</v>
      </c>
      <c r="N16" s="53"/>
      <c r="O16" s="54"/>
      <c r="P16" s="54"/>
      <c r="Q16" s="54"/>
      <c r="R16" s="54"/>
      <c r="S16" s="55"/>
    </row>
    <row r="17" spans="2:19">
      <c r="B17" s="15" t="s">
        <v>12</v>
      </c>
      <c r="C17">
        <v>656</v>
      </c>
      <c r="D17" s="11">
        <v>665</v>
      </c>
      <c r="E17">
        <v>-116</v>
      </c>
      <c r="F17" s="12">
        <v>1232</v>
      </c>
      <c r="G17" s="12">
        <v>2047</v>
      </c>
      <c r="H17" s="10">
        <v>2251</v>
      </c>
      <c r="M17" s="20" t="s">
        <v>19</v>
      </c>
      <c r="N17" s="44">
        <f t="shared" ref="N17:S17" si="5">C24/C6</f>
        <v>3.8650036419880761E-2</v>
      </c>
      <c r="O17" s="37">
        <f t="shared" si="5"/>
        <v>3.2780227430958458E-2</v>
      </c>
      <c r="P17" s="37">
        <f t="shared" si="5"/>
        <v>8.5182844656276416E-2</v>
      </c>
      <c r="Q17" s="37">
        <f t="shared" si="5"/>
        <v>0.14099463555406053</v>
      </c>
      <c r="R17" s="37">
        <f t="shared" si="5"/>
        <v>5.5603097913710174E-2</v>
      </c>
      <c r="S17" s="38">
        <f t="shared" si="5"/>
        <v>1.8598279790835209E-2</v>
      </c>
    </row>
    <row r="18" spans="2:19">
      <c r="B18" s="16" t="s">
        <v>15</v>
      </c>
      <c r="C18">
        <v>5352</v>
      </c>
      <c r="D18">
        <v>2856</v>
      </c>
      <c r="E18">
        <v>13683</v>
      </c>
      <c r="F18">
        <v>47831</v>
      </c>
      <c r="G18">
        <v>30314</v>
      </c>
      <c r="H18">
        <f>4528+1070</f>
        <v>5598</v>
      </c>
      <c r="M18" s="20" t="s">
        <v>20</v>
      </c>
      <c r="N18" s="45">
        <f t="shared" ref="N18:S18" si="6">C24/C40</f>
        <v>0.11132696143186468</v>
      </c>
      <c r="O18" s="39">
        <f t="shared" si="6"/>
        <v>6.6644648375757856E-2</v>
      </c>
      <c r="P18" s="39">
        <f t="shared" si="6"/>
        <v>0.21278861881395261</v>
      </c>
      <c r="Q18" s="39">
        <f t="shared" si="6"/>
        <v>0.2782405142897072</v>
      </c>
      <c r="R18" s="39">
        <f t="shared" si="6"/>
        <v>0.13531139835487663</v>
      </c>
      <c r="S18" s="40">
        <f t="shared" si="6"/>
        <v>1.925161395878355E-2</v>
      </c>
    </row>
    <row r="19" spans="2:19">
      <c r="B19" s="17" t="s">
        <v>16</v>
      </c>
      <c r="C19" s="10">
        <v>189.16200000000001</v>
      </c>
      <c r="D19" s="10">
        <v>1164.9490000000001</v>
      </c>
      <c r="E19" s="10">
        <v>219.108</v>
      </c>
      <c r="F19" s="10">
        <v>392.52499999999998</v>
      </c>
      <c r="G19" s="10">
        <v>538.49199999999996</v>
      </c>
      <c r="H19" s="10">
        <v>430.084</v>
      </c>
      <c r="M19" s="20" t="s">
        <v>21</v>
      </c>
      <c r="N19" s="45">
        <f t="shared" ref="N19:S19" si="7">C24/C33</f>
        <v>6.0363472936153476E-2</v>
      </c>
      <c r="O19" s="39">
        <f t="shared" si="7"/>
        <v>3.3611745669141442E-2</v>
      </c>
      <c r="P19" s="39">
        <f t="shared" si="7"/>
        <v>0.10480169361335406</v>
      </c>
      <c r="Q19" s="39">
        <f t="shared" si="7"/>
        <v>0.12714535230875831</v>
      </c>
      <c r="R19" s="39">
        <f t="shared" si="7"/>
        <v>7.8458463611655774E-2</v>
      </c>
      <c r="S19" s="40">
        <f t="shared" si="7"/>
        <v>1.1094610627882674E-2</v>
      </c>
    </row>
    <row r="20" spans="2:19">
      <c r="M20" s="20" t="s">
        <v>22</v>
      </c>
      <c r="N20" s="45">
        <f t="shared" ref="N20:S20" si="8">C18/C6</f>
        <v>4.8128197980270314E-2</v>
      </c>
      <c r="O20" s="39">
        <f t="shared" si="8"/>
        <v>3.3139939661174289E-2</v>
      </c>
      <c r="P20" s="39">
        <f t="shared" si="8"/>
        <v>0.10417919766105024</v>
      </c>
      <c r="Q20" s="39">
        <f t="shared" si="8"/>
        <v>0.16936423348618168</v>
      </c>
      <c r="R20" s="39">
        <f t="shared" si="8"/>
        <v>8.1321576212486618E-2</v>
      </c>
      <c r="S20" s="40">
        <f t="shared" si="8"/>
        <v>3.6867269925317109E-2</v>
      </c>
    </row>
    <row r="21" spans="2:19">
      <c r="C21" s="3" t="s">
        <v>4</v>
      </c>
      <c r="D21" s="3"/>
      <c r="M21" s="20" t="s">
        <v>23</v>
      </c>
      <c r="N21" s="45">
        <f>(D6/C6)-1</f>
        <v>-0.22502090770932437</v>
      </c>
      <c r="O21" s="39">
        <f>(E6/D6)-1</f>
        <v>0.52403109770248313</v>
      </c>
      <c r="P21" s="39">
        <f>(F6/E6)-1</f>
        <v>1.1502424985343493</v>
      </c>
      <c r="Q21" s="39">
        <f>(G6/F6)-1</f>
        <v>0.31992634952109489</v>
      </c>
      <c r="R21" s="39">
        <f>(H6/G6)-1</f>
        <v>-0.59266244061303708</v>
      </c>
      <c r="S21" s="40"/>
    </row>
    <row r="22" spans="2:19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  <c r="M22" s="20" t="s">
        <v>24</v>
      </c>
      <c r="N22" s="45">
        <f>(D24/C24)-1</f>
        <v>-0.34271754304327595</v>
      </c>
      <c r="O22" s="39">
        <f>(E24/D24)-1</f>
        <v>2.9603539823008851</v>
      </c>
      <c r="P22" s="39">
        <f>(F24/E24)-1</f>
        <v>2.5590811583839828</v>
      </c>
      <c r="Q22" s="39">
        <f>(G24/F24)-1</f>
        <v>-0.47946959993972726</v>
      </c>
      <c r="R22" s="39">
        <f>(H24/G24)-1</f>
        <v>-0.86375259323587594</v>
      </c>
      <c r="S22" s="40"/>
    </row>
    <row r="23" spans="2:19">
      <c r="B23" s="15" t="s">
        <v>12</v>
      </c>
      <c r="C23" s="11">
        <v>442</v>
      </c>
      <c r="D23" s="11">
        <v>421</v>
      </c>
      <c r="E23">
        <v>-190</v>
      </c>
      <c r="F23" s="11">
        <v>953</v>
      </c>
      <c r="G23" s="12">
        <v>1612</v>
      </c>
      <c r="H23" s="13">
        <v>1747</v>
      </c>
      <c r="M23" s="20" t="s">
        <v>25</v>
      </c>
      <c r="N23" s="244">
        <f>(H6/C6)^(1/5)-1</f>
        <v>6.4277993981740167E-2</v>
      </c>
      <c r="O23" s="245"/>
      <c r="P23" s="245"/>
      <c r="Q23" s="245"/>
      <c r="R23" s="245"/>
      <c r="S23" s="246"/>
    </row>
    <row r="24" spans="2:19">
      <c r="B24" s="16" t="s">
        <v>15</v>
      </c>
      <c r="C24">
        <v>4298</v>
      </c>
      <c r="D24">
        <v>2825</v>
      </c>
      <c r="E24">
        <v>11188</v>
      </c>
      <c r="F24">
        <v>39819</v>
      </c>
      <c r="G24">
        <v>20727</v>
      </c>
      <c r="H24">
        <f>2798+26</f>
        <v>2824</v>
      </c>
      <c r="M24" s="20" t="s">
        <v>26</v>
      </c>
      <c r="N24" s="244">
        <f>(H24/C24)^(1/5)-1</f>
        <v>-8.0567912479239778E-2</v>
      </c>
      <c r="O24" s="245"/>
      <c r="P24" s="245"/>
      <c r="Q24" s="245"/>
      <c r="R24" s="245"/>
      <c r="S24" s="246"/>
    </row>
    <row r="25" spans="2:19">
      <c r="B25" s="17" t="s">
        <v>16</v>
      </c>
      <c r="C25" s="10">
        <v>175.315</v>
      </c>
      <c r="D25" s="10">
        <v>1150.1479999999999</v>
      </c>
      <c r="E25" s="12">
        <v>208.90799999999999</v>
      </c>
      <c r="F25" s="10">
        <v>346.49099999999999</v>
      </c>
      <c r="G25" s="10">
        <v>481.10500000000002</v>
      </c>
      <c r="H25" s="10">
        <v>469.87400000000002</v>
      </c>
      <c r="M25" s="20" t="s">
        <v>27</v>
      </c>
      <c r="N25" s="47">
        <f t="shared" ref="N25:S25" si="9">(C6/$C$6)</f>
        <v>1</v>
      </c>
      <c r="O25" s="48">
        <f t="shared" si="9"/>
        <v>0.77497909229067563</v>
      </c>
      <c r="P25" s="48">
        <f t="shared" si="9"/>
        <v>1.1810922367202323</v>
      </c>
      <c r="Q25" s="48">
        <f t="shared" si="9"/>
        <v>2.5396347220848359</v>
      </c>
      <c r="R25" s="48">
        <f t="shared" si="9"/>
        <v>3.3521307878384574</v>
      </c>
      <c r="S25" s="49">
        <f t="shared" si="9"/>
        <v>1.3654487738640144</v>
      </c>
    </row>
    <row r="26" spans="2:19">
      <c r="M26" s="57" t="s">
        <v>16</v>
      </c>
      <c r="N26" s="58"/>
      <c r="O26" s="41"/>
      <c r="P26" s="41"/>
      <c r="Q26" s="41"/>
      <c r="R26" s="41"/>
      <c r="S26" s="42"/>
    </row>
    <row r="27" spans="2:19">
      <c r="M27" s="20" t="s">
        <v>19</v>
      </c>
      <c r="N27" s="44">
        <f t="shared" ref="N27:S27" si="10">C25/C7</f>
        <v>0.33632153654905689</v>
      </c>
      <c r="O27" s="37">
        <f t="shared" si="10"/>
        <v>0.53773502425340425</v>
      </c>
      <c r="P27" s="37">
        <f t="shared" si="10"/>
        <v>0.23521119783105071</v>
      </c>
      <c r="Q27" s="37">
        <f t="shared" si="10"/>
        <v>0.36374105583176564</v>
      </c>
      <c r="R27" s="37">
        <f t="shared" si="10"/>
        <v>0.39107900429117565</v>
      </c>
      <c r="S27" s="38">
        <f t="shared" si="10"/>
        <v>0.47701491325137307</v>
      </c>
    </row>
    <row r="28" spans="2:19">
      <c r="C28" s="2" t="s">
        <v>5</v>
      </c>
      <c r="M28" s="20" t="s">
        <v>20</v>
      </c>
      <c r="N28" s="45">
        <f t="shared" ref="N28:S28" si="11">C25/C41</f>
        <v>0.15856269292932398</v>
      </c>
      <c r="O28" s="39">
        <f t="shared" si="11"/>
        <v>0.526823065651571</v>
      </c>
      <c r="P28" s="39">
        <f t="shared" si="11"/>
        <v>0.11027916611238858</v>
      </c>
      <c r="Q28" s="39">
        <f t="shared" si="11"/>
        <v>0.17056204730967686</v>
      </c>
      <c r="R28" s="39">
        <f t="shared" si="11"/>
        <v>0.20016933708898313</v>
      </c>
      <c r="S28" s="40">
        <f t="shared" si="11"/>
        <v>0.16777217712780565</v>
      </c>
    </row>
    <row r="29" spans="2:19">
      <c r="M29" s="20" t="s">
        <v>21</v>
      </c>
      <c r="N29" s="45">
        <f t="shared" ref="N29:S29" si="12">C25/C34</f>
        <v>0.12485862910830221</v>
      </c>
      <c r="O29" s="39">
        <f t="shared" si="12"/>
        <v>0.39793391617960633</v>
      </c>
      <c r="P29" s="39">
        <f t="shared" si="12"/>
        <v>9.6773341795079057E-2</v>
      </c>
      <c r="Q29" s="39">
        <f t="shared" si="12"/>
        <v>0.15221468231114016</v>
      </c>
      <c r="R29" s="39">
        <f t="shared" si="12"/>
        <v>0.18408892807099309</v>
      </c>
      <c r="S29" s="40">
        <f t="shared" si="12"/>
        <v>0.1544406696765474</v>
      </c>
    </row>
    <row r="30" spans="2:19">
      <c r="C30" s="3" t="s">
        <v>6</v>
      </c>
      <c r="D30" s="3"/>
      <c r="M30" s="20" t="s">
        <v>22</v>
      </c>
      <c r="N30" s="45">
        <f t="shared" ref="N30:S30" si="13">C19/C7</f>
        <v>0.3628854033978422</v>
      </c>
      <c r="O30" s="39">
        <f t="shared" si="13"/>
        <v>0.54465501724037169</v>
      </c>
      <c r="P30" s="39">
        <f t="shared" si="13"/>
        <v>0.2466954598884</v>
      </c>
      <c r="Q30" s="39">
        <f t="shared" si="13"/>
        <v>0.41206685870733673</v>
      </c>
      <c r="R30" s="39">
        <f t="shared" si="13"/>
        <v>0.43772755464766266</v>
      </c>
      <c r="S30" s="40">
        <f t="shared" si="13"/>
        <v>0.43662020446077787</v>
      </c>
    </row>
    <row r="31" spans="2:19">
      <c r="C31" s="4">
        <v>2019</v>
      </c>
      <c r="D31" s="5">
        <v>2020</v>
      </c>
      <c r="E31" s="6">
        <v>2021</v>
      </c>
      <c r="F31" s="7">
        <v>2022</v>
      </c>
      <c r="G31" s="8">
        <v>2023</v>
      </c>
      <c r="H31" s="9">
        <v>2024</v>
      </c>
      <c r="M31" s="20" t="s">
        <v>23</v>
      </c>
      <c r="N31" s="45">
        <f>(D7/C7)-1</f>
        <v>3.103184134194815</v>
      </c>
      <c r="O31" s="39">
        <f>(E7/D7)-1</f>
        <v>-0.58474805680556363</v>
      </c>
      <c r="P31" s="39">
        <f>(F7/E7)-1</f>
        <v>7.2512981719756953E-2</v>
      </c>
      <c r="Q31" s="39">
        <f>(G7/F7)-1</f>
        <v>0.29144446217414677</v>
      </c>
      <c r="R31" s="39">
        <f>(H7/G7)-1</f>
        <v>-0.1992921470428769</v>
      </c>
      <c r="S31" s="40"/>
    </row>
    <row r="32" spans="2:19">
      <c r="B32" s="15" t="s">
        <v>12</v>
      </c>
      <c r="C32" s="10">
        <v>7906</v>
      </c>
      <c r="D32" s="12">
        <v>9606</v>
      </c>
      <c r="E32" s="10">
        <v>10354</v>
      </c>
      <c r="F32" s="12">
        <v>14135</v>
      </c>
      <c r="G32" s="12">
        <v>13802</v>
      </c>
      <c r="H32">
        <v>17501</v>
      </c>
      <c r="M32" s="20" t="s">
        <v>24</v>
      </c>
      <c r="N32" s="45">
        <f>(D25/C25)-1</f>
        <v>5.5604654479080509</v>
      </c>
      <c r="O32" s="39">
        <f>(E25/D25)-1</f>
        <v>-0.81836424529712692</v>
      </c>
      <c r="P32" s="39">
        <f>(F25/E25)-1</f>
        <v>0.65858176805100821</v>
      </c>
      <c r="Q32" s="39">
        <f>(G25/F25)-1</f>
        <v>0.38850648357388806</v>
      </c>
      <c r="R32" s="39">
        <f>(H25/G25)-1</f>
        <v>-2.3344176427183227E-2</v>
      </c>
      <c r="S32" s="40"/>
    </row>
    <row r="33" spans="2:22">
      <c r="B33" s="16" t="s">
        <v>15</v>
      </c>
      <c r="C33">
        <v>71202</v>
      </c>
      <c r="D33">
        <v>84048</v>
      </c>
      <c r="E33">
        <v>106754</v>
      </c>
      <c r="F33">
        <v>313177</v>
      </c>
      <c r="G33">
        <v>264178</v>
      </c>
      <c r="H33">
        <v>254538</v>
      </c>
      <c r="M33" s="20" t="s">
        <v>25</v>
      </c>
      <c r="N33" s="244">
        <f>(H7/C7)^(1/5)-1</f>
        <v>0.13573500611301803</v>
      </c>
      <c r="O33" s="245"/>
      <c r="P33" s="245"/>
      <c r="Q33" s="245"/>
      <c r="R33" s="245"/>
      <c r="S33" s="246"/>
    </row>
    <row r="34" spans="2:22">
      <c r="B34" s="17" t="s">
        <v>16</v>
      </c>
      <c r="C34" s="10">
        <v>1404.1079999999999</v>
      </c>
      <c r="D34" s="10">
        <v>2890.299</v>
      </c>
      <c r="E34" s="10">
        <v>2158.7350000000001</v>
      </c>
      <c r="F34" s="10">
        <v>2276.3310000000001</v>
      </c>
      <c r="G34" s="10">
        <v>2613.4380000000001</v>
      </c>
      <c r="H34" s="10">
        <v>3042.424</v>
      </c>
      <c r="M34" s="20" t="s">
        <v>26</v>
      </c>
      <c r="N34" s="244">
        <f>(H25/C25)^(1/5)-1</f>
        <v>0.21795843557081906</v>
      </c>
      <c r="O34" s="245"/>
      <c r="P34" s="245"/>
      <c r="Q34" s="245"/>
      <c r="R34" s="245"/>
      <c r="S34" s="246"/>
      <c r="U34" s="10"/>
      <c r="V34" s="10"/>
    </row>
    <row r="35" spans="2:22">
      <c r="M35" s="21" t="s">
        <v>27</v>
      </c>
      <c r="N35" s="47">
        <f t="shared" ref="N35:S35" si="14">(C7/$C$7)</f>
        <v>1</v>
      </c>
      <c r="O35" s="48">
        <f t="shared" si="14"/>
        <v>4.103184134194815</v>
      </c>
      <c r="P35" s="48">
        <f t="shared" si="14"/>
        <v>1.703855185008978</v>
      </c>
      <c r="Q35" s="48">
        <f t="shared" si="14"/>
        <v>1.8274068048926471</v>
      </c>
      <c r="R35" s="48">
        <f t="shared" si="14"/>
        <v>2.3599943983179608</v>
      </c>
      <c r="S35" s="49">
        <f t="shared" si="14"/>
        <v>1.8896660476680118</v>
      </c>
    </row>
    <row r="37" spans="2:22">
      <c r="C37" s="3" t="s">
        <v>7</v>
      </c>
      <c r="D37" s="3"/>
    </row>
    <row r="38" spans="2:22">
      <c r="C38" s="4">
        <v>2019</v>
      </c>
      <c r="D38" s="5">
        <v>2020</v>
      </c>
      <c r="E38" s="6">
        <v>2021</v>
      </c>
      <c r="F38" s="7">
        <v>2022</v>
      </c>
      <c r="G38" s="8">
        <v>2023</v>
      </c>
      <c r="H38" s="9">
        <v>2024</v>
      </c>
    </row>
    <row r="39" spans="2:22">
      <c r="B39" s="15" t="s">
        <v>12</v>
      </c>
      <c r="C39" s="12">
        <v>2815</v>
      </c>
      <c r="D39" s="12">
        <v>3247</v>
      </c>
      <c r="E39" s="12">
        <v>3068</v>
      </c>
      <c r="F39" s="10">
        <v>3272</v>
      </c>
      <c r="G39" s="12">
        <v>4717</v>
      </c>
      <c r="H39">
        <v>5302</v>
      </c>
    </row>
    <row r="40" spans="2:22">
      <c r="B40" s="16" t="s">
        <v>15</v>
      </c>
      <c r="C40">
        <v>38607</v>
      </c>
      <c r="D40">
        <v>42389</v>
      </c>
      <c r="E40">
        <v>52578</v>
      </c>
      <c r="F40" s="10">
        <v>143110</v>
      </c>
      <c r="G40" s="10">
        <v>153180</v>
      </c>
      <c r="H40">
        <v>146689</v>
      </c>
    </row>
    <row r="41" spans="2:22">
      <c r="B41" s="17" t="s">
        <v>16</v>
      </c>
      <c r="C41" s="10">
        <v>1105.6510000000001</v>
      </c>
      <c r="D41" s="10">
        <v>2183.1770000000001</v>
      </c>
      <c r="E41" s="10">
        <v>1894.356</v>
      </c>
      <c r="F41" s="10">
        <v>2031.4659999999999</v>
      </c>
      <c r="G41" s="10">
        <v>2403.4899999999998</v>
      </c>
      <c r="H41" s="10">
        <v>2800.6669999999999</v>
      </c>
    </row>
    <row r="44" spans="2:22">
      <c r="C44" s="3" t="s">
        <v>8</v>
      </c>
      <c r="D44" s="3"/>
    </row>
    <row r="45" spans="2:22">
      <c r="C45" s="4">
        <v>2019</v>
      </c>
      <c r="D45" s="5">
        <v>2020</v>
      </c>
      <c r="E45" s="6">
        <v>2021</v>
      </c>
      <c r="F45" s="7">
        <v>2022</v>
      </c>
      <c r="G45" s="8">
        <v>2023</v>
      </c>
      <c r="H45" s="9">
        <v>2024</v>
      </c>
    </row>
    <row r="46" spans="2:22">
      <c r="B46" s="15" t="s">
        <v>12</v>
      </c>
      <c r="C46" s="10">
        <v>5090</v>
      </c>
      <c r="D46" s="10">
        <v>6358</v>
      </c>
      <c r="E46" s="10">
        <v>7285</v>
      </c>
      <c r="F46" s="10">
        <v>10862</v>
      </c>
      <c r="G46" s="10">
        <v>9085</v>
      </c>
      <c r="H46" s="10">
        <v>12199</v>
      </c>
    </row>
    <row r="47" spans="2:22">
      <c r="B47" s="16" t="s">
        <v>15</v>
      </c>
      <c r="C47">
        <v>32595</v>
      </c>
      <c r="D47">
        <v>41569</v>
      </c>
      <c r="E47">
        <v>54176</v>
      </c>
      <c r="F47" s="10">
        <v>170067</v>
      </c>
      <c r="G47" s="10">
        <v>110998</v>
      </c>
      <c r="H47">
        <v>107849</v>
      </c>
    </row>
    <row r="48" spans="2:22">
      <c r="B48" s="17" t="s">
        <v>16</v>
      </c>
      <c r="C48" s="10">
        <v>298.45699999999999</v>
      </c>
      <c r="D48" s="10">
        <v>707.12199999999996</v>
      </c>
      <c r="E48" s="10">
        <v>264.37900000000002</v>
      </c>
      <c r="F48" s="10">
        <v>244.86500000000001</v>
      </c>
      <c r="G48" s="10">
        <v>209.94800000000001</v>
      </c>
      <c r="H48" s="10">
        <v>241.75700000000001</v>
      </c>
    </row>
    <row r="51" spans="2:8">
      <c r="C51" s="3" t="s">
        <v>9</v>
      </c>
      <c r="D51" s="3"/>
    </row>
    <row r="52" spans="2:8">
      <c r="C52" s="4">
        <v>2019</v>
      </c>
      <c r="D52" s="5">
        <v>2020</v>
      </c>
      <c r="E52" s="6">
        <v>2021</v>
      </c>
      <c r="F52" s="7">
        <v>2022</v>
      </c>
      <c r="G52" s="8">
        <v>2023</v>
      </c>
      <c r="H52" s="9">
        <v>2024</v>
      </c>
    </row>
    <row r="53" spans="2:8">
      <c r="B53" s="15" t="s">
        <v>12</v>
      </c>
      <c r="C53" s="12">
        <v>1160</v>
      </c>
      <c r="D53" s="12">
        <v>1431</v>
      </c>
      <c r="E53" s="12">
        <v>2074</v>
      </c>
      <c r="F53" s="12">
        <v>3864</v>
      </c>
      <c r="G53" s="12">
        <v>3040</v>
      </c>
      <c r="H53">
        <v>4669</v>
      </c>
    </row>
    <row r="54" spans="2:8">
      <c r="B54" s="16" t="s">
        <v>15</v>
      </c>
      <c r="C54">
        <v>15074</v>
      </c>
      <c r="D54">
        <v>12279</v>
      </c>
      <c r="E54">
        <v>18410</v>
      </c>
      <c r="F54" s="10">
        <v>33086</v>
      </c>
      <c r="G54" s="10">
        <v>23726</v>
      </c>
      <c r="H54">
        <v>21162</v>
      </c>
    </row>
    <row r="55" spans="2:8">
      <c r="B55" s="17" t="s">
        <v>16</v>
      </c>
      <c r="C55" s="10">
        <v>12.862</v>
      </c>
      <c r="D55" s="10">
        <v>6.9569999999999999</v>
      </c>
      <c r="E55" s="10">
        <v>15.885999999999999</v>
      </c>
      <c r="F55" s="10">
        <v>12.701000000000001</v>
      </c>
      <c r="G55" s="10">
        <v>3.5760000000000001</v>
      </c>
      <c r="H55" s="10">
        <v>1.802</v>
      </c>
    </row>
  </sheetData>
  <mergeCells count="7">
    <mergeCell ref="N33:S33"/>
    <mergeCell ref="N34:S34"/>
    <mergeCell ref="C1:D1"/>
    <mergeCell ref="N13:S13"/>
    <mergeCell ref="N14:S14"/>
    <mergeCell ref="N23:S23"/>
    <mergeCell ref="N24:S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7856-F3A2-4884-AAF7-9F30F8D0DE05}">
  <dimension ref="B2:Q25"/>
  <sheetViews>
    <sheetView topLeftCell="B1" workbookViewId="0">
      <selection activeCell="L13" sqref="L13:Q13"/>
    </sheetView>
  </sheetViews>
  <sheetFormatPr defaultRowHeight="14.4"/>
  <cols>
    <col min="2" max="2" width="10" bestFit="1" customWidth="1"/>
    <col min="11" max="11" width="18.5546875" bestFit="1" customWidth="1"/>
  </cols>
  <sheetData>
    <row r="2" spans="2:17">
      <c r="C2" s="3" t="s">
        <v>28</v>
      </c>
      <c r="D2" s="3"/>
    </row>
    <row r="3" spans="2:17">
      <c r="B3" t="s">
        <v>13</v>
      </c>
      <c r="C3" s="4">
        <v>2019</v>
      </c>
      <c r="D3" s="5">
        <v>2020</v>
      </c>
      <c r="E3" s="6">
        <v>2021</v>
      </c>
      <c r="F3" s="7">
        <v>2022</v>
      </c>
      <c r="G3" s="8">
        <v>2023</v>
      </c>
      <c r="H3" s="9">
        <v>2024</v>
      </c>
      <c r="L3" s="22" t="s">
        <v>18</v>
      </c>
    </row>
    <row r="4" spans="2:17">
      <c r="B4" s="15" t="s">
        <v>12</v>
      </c>
      <c r="C4" s="12">
        <f>2626794/1000</f>
        <v>2626.7939999999999</v>
      </c>
      <c r="D4" s="12">
        <f>3735143/1000</f>
        <v>3735.143</v>
      </c>
      <c r="E4" s="10">
        <v>4733</v>
      </c>
      <c r="F4" s="12">
        <v>7107</v>
      </c>
      <c r="G4" s="12">
        <v>5829</v>
      </c>
      <c r="H4">
        <v>7629</v>
      </c>
      <c r="K4" s="18" t="s">
        <v>17</v>
      </c>
      <c r="L4" s="35">
        <v>2019</v>
      </c>
      <c r="M4" s="31">
        <v>2020</v>
      </c>
      <c r="N4" s="32">
        <v>2021</v>
      </c>
      <c r="O4" s="33">
        <v>2022</v>
      </c>
      <c r="P4" s="34">
        <v>2023</v>
      </c>
      <c r="Q4" s="36">
        <v>2024</v>
      </c>
    </row>
    <row r="5" spans="2:17">
      <c r="B5" s="16" t="s">
        <v>15</v>
      </c>
      <c r="C5">
        <v>31925</v>
      </c>
      <c r="D5">
        <v>24615</v>
      </c>
      <c r="E5" s="10">
        <v>38048</v>
      </c>
      <c r="F5" s="10">
        <v>119210</v>
      </c>
      <c r="G5" s="10">
        <v>68775</v>
      </c>
      <c r="H5">
        <v>67777</v>
      </c>
      <c r="K5" s="43" t="s">
        <v>12</v>
      </c>
      <c r="L5" s="77"/>
      <c r="M5" s="77"/>
      <c r="N5" s="77"/>
      <c r="O5" s="77"/>
      <c r="P5" s="77"/>
      <c r="Q5" s="78"/>
    </row>
    <row r="6" spans="2:17">
      <c r="B6" s="17" t="s">
        <v>16</v>
      </c>
      <c r="C6" s="10">
        <v>725</v>
      </c>
      <c r="D6" s="10">
        <v>2130</v>
      </c>
      <c r="E6" s="10">
        <v>1252</v>
      </c>
      <c r="F6" s="10">
        <v>1154</v>
      </c>
      <c r="G6" s="10">
        <v>1163</v>
      </c>
      <c r="H6" s="10">
        <v>1468</v>
      </c>
      <c r="K6" s="19" t="s">
        <v>30</v>
      </c>
      <c r="L6" s="62">
        <f t="shared" ref="L6:Q6" si="0">C4/C11</f>
        <v>1.0693995829543799</v>
      </c>
      <c r="M6" s="72">
        <f t="shared" si="0"/>
        <v>1.1675532646477782</v>
      </c>
      <c r="N6" s="72">
        <f t="shared" si="0"/>
        <v>1.1346857342457171</v>
      </c>
      <c r="O6" s="72">
        <f t="shared" si="0"/>
        <v>1.0330043959736812</v>
      </c>
      <c r="P6" s="72">
        <f t="shared" si="0"/>
        <v>1.0309515387336399</v>
      </c>
      <c r="Q6" s="73">
        <f t="shared" si="0"/>
        <v>0.90251981545013604</v>
      </c>
    </row>
    <row r="7" spans="2:17">
      <c r="K7" s="20" t="s">
        <v>31</v>
      </c>
      <c r="L7" s="65">
        <f t="shared" ref="L7:Q7" si="1">(C4-C18)/C11</f>
        <v>0.59714956402366781</v>
      </c>
      <c r="M7" s="63">
        <f t="shared" si="1"/>
        <v>0.72024275425742079</v>
      </c>
      <c r="N7" s="63">
        <f t="shared" si="1"/>
        <v>0.63746658934277656</v>
      </c>
      <c r="O7" s="63">
        <f t="shared" si="1"/>
        <v>0.47137093796857293</v>
      </c>
      <c r="P7" s="63">
        <f t="shared" si="1"/>
        <v>0.49327909444640961</v>
      </c>
      <c r="Q7" s="64">
        <f t="shared" si="1"/>
        <v>0.35017153673252099</v>
      </c>
    </row>
    <row r="8" spans="2:17">
      <c r="K8" s="56" t="s">
        <v>15</v>
      </c>
      <c r="L8" s="74"/>
      <c r="M8" s="75"/>
      <c r="N8" s="75"/>
      <c r="O8" s="75"/>
      <c r="P8" s="75"/>
      <c r="Q8" s="76"/>
    </row>
    <row r="9" spans="2:17">
      <c r="C9" s="3" t="s">
        <v>29</v>
      </c>
      <c r="D9" s="3"/>
      <c r="K9" s="19" t="s">
        <v>30</v>
      </c>
      <c r="L9" s="65">
        <f t="shared" ref="L9:Q9" si="2">C5/C12</f>
        <v>1.7464442013129102</v>
      </c>
      <c r="M9" s="63">
        <f t="shared" si="2"/>
        <v>1.0737654859535857</v>
      </c>
      <c r="N9" s="63">
        <f t="shared" si="2"/>
        <v>1.255999735912587</v>
      </c>
      <c r="O9" s="63">
        <f t="shared" si="2"/>
        <v>1.2703944073233373</v>
      </c>
      <c r="P9" s="63">
        <f t="shared" si="2"/>
        <v>1.4658553220512383</v>
      </c>
      <c r="Q9" s="64">
        <f t="shared" si="2"/>
        <v>1.1380381489690377</v>
      </c>
    </row>
    <row r="10" spans="2:17">
      <c r="C10" s="4">
        <v>2019</v>
      </c>
      <c r="D10" s="5">
        <v>2020</v>
      </c>
      <c r="E10" s="6">
        <v>2021</v>
      </c>
      <c r="F10" s="7">
        <v>2022</v>
      </c>
      <c r="G10" s="8">
        <v>2023</v>
      </c>
      <c r="H10" s="9">
        <v>2024</v>
      </c>
      <c r="K10" s="20" t="s">
        <v>31</v>
      </c>
      <c r="L10" s="65">
        <f t="shared" ref="L10:Q10" si="3">(C5-C19)/C12</f>
        <v>0.9218271334792123</v>
      </c>
      <c r="M10" s="63">
        <f t="shared" si="3"/>
        <v>0.53812598150410051</v>
      </c>
      <c r="N10" s="63">
        <f t="shared" si="3"/>
        <v>0.64826857689895356</v>
      </c>
      <c r="O10" s="63">
        <f t="shared" si="3"/>
        <v>0.91780427763035899</v>
      </c>
      <c r="P10" s="63">
        <f t="shared" si="3"/>
        <v>0.96016454239311133</v>
      </c>
      <c r="Q10" s="64">
        <f t="shared" si="3"/>
        <v>0.78270871112902141</v>
      </c>
    </row>
    <row r="11" spans="2:17">
      <c r="B11" s="15" t="s">
        <v>12</v>
      </c>
      <c r="C11" s="10">
        <v>2456.326</v>
      </c>
      <c r="D11" s="10">
        <v>3199.12</v>
      </c>
      <c r="E11" s="10">
        <v>4171.1989999999996</v>
      </c>
      <c r="F11" s="10">
        <v>6879.9319999999998</v>
      </c>
      <c r="G11" s="10">
        <v>5654</v>
      </c>
      <c r="H11" s="10">
        <v>8453</v>
      </c>
      <c r="K11" s="57" t="s">
        <v>16</v>
      </c>
      <c r="L11" s="74"/>
      <c r="M11" s="75"/>
      <c r="N11" s="75"/>
      <c r="O11" s="75"/>
      <c r="P11" s="75"/>
      <c r="Q11" s="76"/>
    </row>
    <row r="12" spans="2:17">
      <c r="B12" s="16" t="s">
        <v>15</v>
      </c>
      <c r="C12">
        <v>18280</v>
      </c>
      <c r="D12">
        <v>22924</v>
      </c>
      <c r="E12" s="10">
        <v>30293</v>
      </c>
      <c r="F12" s="10">
        <v>93837</v>
      </c>
      <c r="G12" s="10">
        <v>46918</v>
      </c>
      <c r="H12">
        <v>59556</v>
      </c>
      <c r="K12" s="19" t="s">
        <v>30</v>
      </c>
      <c r="L12" s="66">
        <f t="shared" ref="L12:Q12" si="4">C6/C13</f>
        <v>2.6556776556776556</v>
      </c>
      <c r="M12" s="67">
        <f t="shared" si="4"/>
        <v>3.9444444444444446</v>
      </c>
      <c r="N12" s="67">
        <f t="shared" si="4"/>
        <v>5.4912280701754383</v>
      </c>
      <c r="O12" s="67">
        <f t="shared" si="4"/>
        <v>5.5480769230769234</v>
      </c>
      <c r="P12" s="67">
        <f t="shared" si="4"/>
        <v>6.8011695906432745</v>
      </c>
      <c r="Q12" s="68">
        <f t="shared" si="4"/>
        <v>6.7031963470319633</v>
      </c>
    </row>
    <row r="13" spans="2:17">
      <c r="B13" s="17" t="s">
        <v>16</v>
      </c>
      <c r="C13" s="10">
        <v>273</v>
      </c>
      <c r="D13" s="10">
        <v>540</v>
      </c>
      <c r="E13" s="10">
        <v>228</v>
      </c>
      <c r="F13" s="10">
        <v>208</v>
      </c>
      <c r="G13" s="10">
        <v>171</v>
      </c>
      <c r="H13" s="10">
        <v>219</v>
      </c>
      <c r="K13" s="21" t="s">
        <v>31</v>
      </c>
      <c r="L13" s="69">
        <f t="shared" ref="L13:Q13" si="5">(C6-C20)/C13</f>
        <v>2.6085641025641029</v>
      </c>
      <c r="M13" s="70">
        <f t="shared" si="5"/>
        <v>3.9315611111111113</v>
      </c>
      <c r="N13" s="70">
        <f t="shared" si="5"/>
        <v>5.4215526315789475</v>
      </c>
      <c r="O13" s="70">
        <f t="shared" si="5"/>
        <v>5.4870144230769231</v>
      </c>
      <c r="P13" s="70">
        <f t="shared" si="5"/>
        <v>6.7802573099415202</v>
      </c>
      <c r="Q13" s="71">
        <f t="shared" si="5"/>
        <v>6.6949680365296809</v>
      </c>
    </row>
    <row r="14" spans="2:17">
      <c r="L14" s="50"/>
      <c r="M14" s="50"/>
      <c r="N14" s="50"/>
      <c r="O14" s="50"/>
      <c r="P14" s="50"/>
      <c r="Q14" s="50"/>
    </row>
    <row r="16" spans="2:17">
      <c r="C16" s="3" t="s">
        <v>9</v>
      </c>
      <c r="D16" s="3"/>
      <c r="L16" s="46"/>
      <c r="M16" s="46"/>
      <c r="N16" s="46"/>
      <c r="O16" s="46"/>
      <c r="P16" s="46"/>
      <c r="Q16" s="46"/>
    </row>
    <row r="17" spans="2:17">
      <c r="C17" s="4">
        <v>2019</v>
      </c>
      <c r="D17" s="5">
        <v>2020</v>
      </c>
      <c r="E17" s="6">
        <v>2021</v>
      </c>
      <c r="F17" s="7">
        <v>2022</v>
      </c>
      <c r="G17" s="8">
        <v>2023</v>
      </c>
      <c r="H17" s="9">
        <v>2024</v>
      </c>
      <c r="L17" s="46"/>
      <c r="M17" s="46"/>
      <c r="N17" s="46"/>
      <c r="O17" s="46"/>
      <c r="P17" s="46"/>
      <c r="Q17" s="46"/>
    </row>
    <row r="18" spans="2:17">
      <c r="B18" s="15" t="s">
        <v>12</v>
      </c>
      <c r="C18" s="12">
        <v>1160</v>
      </c>
      <c r="D18" s="12">
        <v>1431</v>
      </c>
      <c r="E18" s="12">
        <v>2074</v>
      </c>
      <c r="F18" s="12">
        <v>3864</v>
      </c>
      <c r="G18" s="12">
        <v>3040</v>
      </c>
      <c r="H18">
        <v>4669</v>
      </c>
      <c r="L18" s="46"/>
      <c r="M18" s="46"/>
      <c r="N18" s="46"/>
      <c r="O18" s="46"/>
      <c r="P18" s="46"/>
      <c r="Q18" s="46"/>
    </row>
    <row r="19" spans="2:17">
      <c r="B19" s="16" t="s">
        <v>15</v>
      </c>
      <c r="C19">
        <v>15074</v>
      </c>
      <c r="D19">
        <v>12279</v>
      </c>
      <c r="E19">
        <v>18410</v>
      </c>
      <c r="F19" s="10">
        <v>33086</v>
      </c>
      <c r="G19" s="10">
        <v>23726</v>
      </c>
      <c r="H19">
        <v>21162</v>
      </c>
      <c r="L19" s="46"/>
      <c r="M19" s="46"/>
      <c r="N19" s="46"/>
      <c r="O19" s="46"/>
      <c r="P19" s="46"/>
      <c r="Q19" s="46"/>
    </row>
    <row r="20" spans="2:17">
      <c r="B20" s="17" t="s">
        <v>16</v>
      </c>
      <c r="C20" s="10">
        <v>12.862</v>
      </c>
      <c r="D20" s="10">
        <v>6.9569999999999999</v>
      </c>
      <c r="E20" s="10">
        <v>15.885999999999999</v>
      </c>
      <c r="F20" s="10">
        <v>12.701000000000001</v>
      </c>
      <c r="G20" s="10">
        <v>3.5760000000000001</v>
      </c>
      <c r="H20" s="10">
        <v>1.802</v>
      </c>
      <c r="L20" s="46"/>
      <c r="M20" s="46"/>
      <c r="N20" s="46"/>
      <c r="O20" s="46"/>
      <c r="P20" s="46"/>
      <c r="Q20" s="46"/>
    </row>
    <row r="21" spans="2:17">
      <c r="L21" s="46"/>
      <c r="M21" s="46"/>
      <c r="N21" s="46"/>
      <c r="O21" s="46"/>
      <c r="P21" s="46"/>
      <c r="Q21" s="46"/>
    </row>
    <row r="22" spans="2:17">
      <c r="L22" s="247"/>
      <c r="M22" s="247"/>
      <c r="N22" s="247"/>
      <c r="O22" s="247"/>
      <c r="P22" s="247"/>
      <c r="Q22" s="247"/>
    </row>
    <row r="23" spans="2:17">
      <c r="L23" s="247"/>
      <c r="M23" s="247"/>
      <c r="N23" s="247"/>
      <c r="O23" s="247"/>
      <c r="P23" s="247"/>
      <c r="Q23" s="247"/>
    </row>
    <row r="24" spans="2:17">
      <c r="L24" s="61"/>
      <c r="M24" s="61"/>
      <c r="N24" s="61"/>
      <c r="O24" s="61"/>
      <c r="P24" s="61"/>
      <c r="Q24" s="61"/>
    </row>
    <row r="25" spans="2:17">
      <c r="L25" s="46"/>
      <c r="M25" s="46"/>
      <c r="N25" s="46"/>
      <c r="O25" s="46"/>
      <c r="P25" s="46"/>
      <c r="Q25" s="46"/>
    </row>
  </sheetData>
  <mergeCells count="2">
    <mergeCell ref="L22:Q22"/>
    <mergeCell ref="L23:Q23"/>
  </mergeCells>
  <conditionalFormatting sqref="L6:Q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Q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Q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Q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Q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62E1-B7CC-48F4-86E9-16A9962A326C}">
  <dimension ref="B3:Q28"/>
  <sheetViews>
    <sheetView workbookViewId="0">
      <selection activeCell="K4" sqref="K4:Q13"/>
    </sheetView>
  </sheetViews>
  <sheetFormatPr defaultRowHeight="14.4"/>
  <cols>
    <col min="11" max="11" width="21.44140625" bestFit="1" customWidth="1"/>
    <col min="12" max="12" width="11" customWidth="1"/>
  </cols>
  <sheetData>
    <row r="3" spans="2:17">
      <c r="C3" s="3" t="s">
        <v>32</v>
      </c>
      <c r="D3" s="3"/>
      <c r="L3" s="22" t="s">
        <v>18</v>
      </c>
    </row>
    <row r="4" spans="2:17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  <c r="K4" s="18" t="s">
        <v>17</v>
      </c>
      <c r="L4" s="35">
        <v>2019</v>
      </c>
      <c r="M4" s="31">
        <v>2020</v>
      </c>
      <c r="N4" s="32">
        <v>2021</v>
      </c>
      <c r="O4" s="33">
        <v>2022</v>
      </c>
      <c r="P4" s="34">
        <v>2023</v>
      </c>
      <c r="Q4" s="36">
        <v>2024</v>
      </c>
    </row>
    <row r="5" spans="2:17">
      <c r="B5" s="15" t="s">
        <v>12</v>
      </c>
      <c r="C5" s="10">
        <v>5091</v>
      </c>
      <c r="D5" s="10">
        <v>6358</v>
      </c>
      <c r="E5" s="10">
        <v>7285</v>
      </c>
      <c r="F5" s="10">
        <v>10863</v>
      </c>
      <c r="G5" s="10">
        <v>8937</v>
      </c>
      <c r="H5" s="10">
        <v>9085</v>
      </c>
      <c r="K5" s="43" t="s">
        <v>12</v>
      </c>
      <c r="L5" s="77"/>
      <c r="M5" s="77"/>
      <c r="N5" s="77"/>
      <c r="O5" s="77"/>
      <c r="P5" s="77"/>
      <c r="Q5" s="78"/>
    </row>
    <row r="6" spans="2:17">
      <c r="B6" s="16" t="s">
        <v>15</v>
      </c>
      <c r="C6">
        <v>32595</v>
      </c>
      <c r="D6">
        <v>41448</v>
      </c>
      <c r="E6" s="10">
        <v>54176</v>
      </c>
      <c r="F6" s="10">
        <v>135368</v>
      </c>
      <c r="G6" s="10">
        <v>63470</v>
      </c>
      <c r="H6" s="10">
        <v>107849</v>
      </c>
      <c r="K6" s="81" t="s">
        <v>35</v>
      </c>
      <c r="L6" s="62">
        <f t="shared" ref="L6:Q6" si="0">C5/C12</f>
        <v>1.808525754884547</v>
      </c>
      <c r="M6" s="62">
        <f t="shared" si="0"/>
        <v>1.9581151832460733</v>
      </c>
      <c r="N6" s="62">
        <f t="shared" si="0"/>
        <v>2.3745110821382007</v>
      </c>
      <c r="O6" s="62">
        <f t="shared" si="0"/>
        <v>3.3199877750611249</v>
      </c>
      <c r="P6" s="62">
        <f t="shared" si="0"/>
        <v>1.8946364214543141</v>
      </c>
      <c r="Q6" s="62">
        <f t="shared" si="0"/>
        <v>1.7135043379856658</v>
      </c>
    </row>
    <row r="7" spans="2:17">
      <c r="B7" s="17" t="s">
        <v>16</v>
      </c>
      <c r="C7" s="10">
        <v>435</v>
      </c>
      <c r="D7" s="10">
        <v>1365</v>
      </c>
      <c r="E7" s="10">
        <v>262</v>
      </c>
      <c r="F7" s="10">
        <v>464</v>
      </c>
      <c r="G7" s="10">
        <v>404</v>
      </c>
      <c r="H7" s="10">
        <v>467</v>
      </c>
      <c r="K7" s="82" t="s">
        <v>36</v>
      </c>
      <c r="L7" s="65">
        <f t="shared" ref="L7:Q7" si="1">C19/C26</f>
        <v>17.2</v>
      </c>
      <c r="M7" s="65">
        <f t="shared" si="1"/>
        <v>5.3311258278145699</v>
      </c>
      <c r="N7" s="65">
        <f t="shared" si="1"/>
        <v>0.44868035190615835</v>
      </c>
      <c r="O7" s="65">
        <f t="shared" si="1"/>
        <v>5.2222222222222223</v>
      </c>
      <c r="P7" s="65">
        <f t="shared" si="1"/>
        <v>6.5163883928571433</v>
      </c>
      <c r="Q7" s="65">
        <f t="shared" si="1"/>
        <v>6.8353293413173652</v>
      </c>
    </row>
    <row r="8" spans="2:17">
      <c r="K8" s="83" t="s">
        <v>15</v>
      </c>
      <c r="L8" s="74"/>
      <c r="M8" s="75"/>
      <c r="N8" s="75"/>
      <c r="O8" s="75"/>
      <c r="P8" s="75"/>
      <c r="Q8" s="76"/>
    </row>
    <row r="9" spans="2:17">
      <c r="K9" s="81" t="s">
        <v>35</v>
      </c>
      <c r="L9" s="65">
        <f t="shared" ref="L9:Q9" si="2">C6/C13</f>
        <v>0.8442769445955397</v>
      </c>
      <c r="M9" s="65">
        <f t="shared" si="2"/>
        <v>0.97780084455872984</v>
      </c>
      <c r="N9" s="65">
        <f t="shared" si="2"/>
        <v>1.0303929400129332</v>
      </c>
      <c r="O9" s="65">
        <f t="shared" si="2"/>
        <v>0.94590175389560482</v>
      </c>
      <c r="P9" s="65">
        <f t="shared" si="2"/>
        <v>0.41434913174043608</v>
      </c>
      <c r="Q9" s="65">
        <f t="shared" si="2"/>
        <v>0.73522213662919511</v>
      </c>
    </row>
    <row r="10" spans="2:17">
      <c r="C10" s="3" t="s">
        <v>7</v>
      </c>
      <c r="D10" s="3"/>
      <c r="K10" s="82" t="s">
        <v>36</v>
      </c>
      <c r="L10" s="65">
        <f t="shared" ref="L10:Q10" si="3">C20/C27</f>
        <v>5.9544950055493899</v>
      </c>
      <c r="M10" s="65">
        <f t="shared" si="3"/>
        <v>2.068819481206988</v>
      </c>
      <c r="N10" s="65">
        <f t="shared" si="3"/>
        <v>14.328512396694215</v>
      </c>
      <c r="O10" s="65">
        <f t="shared" si="3"/>
        <v>14.948344852673699</v>
      </c>
      <c r="P10" s="65">
        <f t="shared" si="3"/>
        <v>9.3197256694970605</v>
      </c>
      <c r="Q10" s="65">
        <f t="shared" si="3"/>
        <v>7.2375690607734811</v>
      </c>
    </row>
    <row r="11" spans="2:17">
      <c r="C11" s="4">
        <v>2019</v>
      </c>
      <c r="D11" s="5">
        <v>2020</v>
      </c>
      <c r="E11" s="6">
        <v>2021</v>
      </c>
      <c r="F11" s="7">
        <v>2022</v>
      </c>
      <c r="G11" s="8">
        <v>2023</v>
      </c>
      <c r="H11" s="9">
        <v>2024</v>
      </c>
      <c r="K11" s="84" t="s">
        <v>16</v>
      </c>
      <c r="L11" s="74"/>
      <c r="M11" s="75"/>
      <c r="N11" s="75"/>
      <c r="O11" s="75"/>
      <c r="P11" s="75"/>
      <c r="Q11" s="76"/>
    </row>
    <row r="12" spans="2:17">
      <c r="B12" s="15" t="s">
        <v>12</v>
      </c>
      <c r="C12" s="12">
        <v>2815</v>
      </c>
      <c r="D12" s="12">
        <v>3247</v>
      </c>
      <c r="E12" s="12">
        <v>3068</v>
      </c>
      <c r="F12" s="10">
        <v>3272</v>
      </c>
      <c r="G12" s="12">
        <v>4717</v>
      </c>
      <c r="H12">
        <v>5302</v>
      </c>
      <c r="K12" s="81" t="s">
        <v>35</v>
      </c>
      <c r="L12" s="66">
        <f t="shared" ref="L12:Q12" si="4">C7/C14</f>
        <v>0.39343337092807762</v>
      </c>
      <c r="M12" s="66">
        <f t="shared" si="4"/>
        <v>0.62523560847333948</v>
      </c>
      <c r="N12" s="66">
        <f t="shared" si="4"/>
        <v>0.13830557719879474</v>
      </c>
      <c r="O12" s="66">
        <f t="shared" si="4"/>
        <v>0.22840648083699161</v>
      </c>
      <c r="P12" s="66">
        <f t="shared" si="4"/>
        <v>0.16808890405202437</v>
      </c>
      <c r="Q12" s="66">
        <f t="shared" si="4"/>
        <v>0.16674599300809415</v>
      </c>
    </row>
    <row r="13" spans="2:17">
      <c r="B13" s="16" t="s">
        <v>15</v>
      </c>
      <c r="C13">
        <v>38607</v>
      </c>
      <c r="D13">
        <v>42389</v>
      </c>
      <c r="E13">
        <v>52578</v>
      </c>
      <c r="F13" s="10">
        <v>143110</v>
      </c>
      <c r="G13" s="10">
        <v>153180</v>
      </c>
      <c r="H13">
        <v>146689</v>
      </c>
      <c r="K13" s="85" t="s">
        <v>36</v>
      </c>
      <c r="L13" s="69">
        <f t="shared" ref="L13:Q13" si="5">C21/C28</f>
        <v>323.58318098720292</v>
      </c>
      <c r="M13" s="69">
        <f t="shared" si="5"/>
        <v>128.55555555555554</v>
      </c>
      <c r="N13" s="69">
        <f t="shared" si="5"/>
        <v>10.130434782608695</v>
      </c>
      <c r="O13" s="69">
        <f t="shared" si="5"/>
        <v>6.836363636363636</v>
      </c>
      <c r="P13" s="69">
        <f t="shared" si="5"/>
        <v>9.5714285714285712</v>
      </c>
      <c r="Q13" s="69">
        <f t="shared" si="5"/>
        <v>20.277777777777779</v>
      </c>
    </row>
    <row r="14" spans="2:17">
      <c r="B14" s="17" t="s">
        <v>16</v>
      </c>
      <c r="C14" s="10">
        <v>1105.6510000000001</v>
      </c>
      <c r="D14" s="10">
        <v>2183.1770000000001</v>
      </c>
      <c r="E14" s="10">
        <v>1894.356</v>
      </c>
      <c r="F14" s="10">
        <v>2031.4659999999999</v>
      </c>
      <c r="G14" s="10">
        <v>2403.4899999999998</v>
      </c>
      <c r="H14" s="10">
        <v>2800.6669999999999</v>
      </c>
    </row>
    <row r="17" spans="2:12">
      <c r="C17" s="3" t="s">
        <v>33</v>
      </c>
      <c r="D17" s="3"/>
    </row>
    <row r="18" spans="2:12">
      <c r="C18" s="4">
        <v>2019</v>
      </c>
      <c r="D18" s="5">
        <v>2020</v>
      </c>
      <c r="E18" s="6">
        <v>2021</v>
      </c>
      <c r="F18" s="7">
        <v>2022</v>
      </c>
      <c r="G18" s="8">
        <v>2023</v>
      </c>
      <c r="H18" s="9">
        <v>2024</v>
      </c>
      <c r="K18" s="11"/>
      <c r="L18" s="14"/>
    </row>
    <row r="19" spans="2:12">
      <c r="B19" s="15" t="s">
        <v>12</v>
      </c>
      <c r="C19">
        <v>688</v>
      </c>
      <c r="D19" s="12">
        <v>805</v>
      </c>
      <c r="E19" s="12">
        <v>153</v>
      </c>
      <c r="F19" s="12">
        <v>1128</v>
      </c>
      <c r="G19" s="12">
        <f>1459671/1000</f>
        <v>1459.671</v>
      </c>
      <c r="H19" s="80">
        <v>2283</v>
      </c>
    </row>
    <row r="20" spans="2:12">
      <c r="B20" s="16" t="s">
        <v>15</v>
      </c>
      <c r="C20">
        <v>5365</v>
      </c>
      <c r="D20">
        <v>3908</v>
      </c>
      <c r="E20" s="10">
        <v>13870</v>
      </c>
      <c r="F20" s="10">
        <v>41093</v>
      </c>
      <c r="G20" s="10">
        <v>28537</v>
      </c>
      <c r="H20" s="10">
        <v>5240</v>
      </c>
    </row>
    <row r="21" spans="2:12">
      <c r="B21" s="17" t="s">
        <v>16</v>
      </c>
      <c r="C21" s="10">
        <v>177</v>
      </c>
      <c r="D21" s="10">
        <v>1157</v>
      </c>
      <c r="E21">
        <v>233</v>
      </c>
      <c r="F21">
        <v>376</v>
      </c>
      <c r="G21">
        <v>469</v>
      </c>
      <c r="H21" s="10">
        <v>365</v>
      </c>
    </row>
    <row r="23" spans="2:12">
      <c r="J23" s="11"/>
      <c r="K23" s="11"/>
    </row>
    <row r="24" spans="2:12">
      <c r="C24" s="3" t="s">
        <v>34</v>
      </c>
      <c r="D24" s="3"/>
    </row>
    <row r="25" spans="2:12">
      <c r="C25" s="4">
        <v>2019</v>
      </c>
      <c r="D25" s="5">
        <v>2020</v>
      </c>
      <c r="E25" s="6">
        <v>2021</v>
      </c>
      <c r="F25" s="7">
        <v>2022</v>
      </c>
      <c r="G25" s="8">
        <v>2023</v>
      </c>
      <c r="H25" s="9">
        <v>2024</v>
      </c>
    </row>
    <row r="26" spans="2:12">
      <c r="B26" s="15" t="s">
        <v>12</v>
      </c>
      <c r="C26" s="12">
        <v>40</v>
      </c>
      <c r="D26" s="12">
        <v>151</v>
      </c>
      <c r="E26" s="12">
        <v>341</v>
      </c>
      <c r="F26" s="11">
        <v>216</v>
      </c>
      <c r="G26" s="11">
        <v>224</v>
      </c>
      <c r="H26">
        <v>334</v>
      </c>
    </row>
    <row r="27" spans="2:12">
      <c r="B27" s="16" t="s">
        <v>15</v>
      </c>
      <c r="C27">
        <v>901</v>
      </c>
      <c r="D27">
        <v>1889</v>
      </c>
      <c r="E27">
        <v>968</v>
      </c>
      <c r="F27" s="10">
        <v>2749</v>
      </c>
      <c r="G27" s="10">
        <v>3062</v>
      </c>
      <c r="H27" s="79">
        <v>724</v>
      </c>
    </row>
    <row r="28" spans="2:12">
      <c r="B28" s="17" t="s">
        <v>16</v>
      </c>
      <c r="C28" s="10">
        <f>547/1000</f>
        <v>0.54700000000000004</v>
      </c>
      <c r="D28">
        <v>9</v>
      </c>
      <c r="E28">
        <v>23</v>
      </c>
      <c r="F28">
        <v>55</v>
      </c>
      <c r="G28">
        <v>49</v>
      </c>
      <c r="H28">
        <v>18</v>
      </c>
    </row>
  </sheetData>
  <conditionalFormatting sqref="L6:Q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Q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Q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5652-8CDC-4065-9173-735CA37AFDF0}">
  <dimension ref="B3:Q14"/>
  <sheetViews>
    <sheetView workbookViewId="0">
      <selection activeCell="B10" sqref="B10:H14"/>
    </sheetView>
  </sheetViews>
  <sheetFormatPr defaultRowHeight="14.4"/>
  <cols>
    <col min="11" max="11" width="14" bestFit="1" customWidth="1"/>
  </cols>
  <sheetData>
    <row r="3" spans="2:17">
      <c r="C3" s="3" t="s">
        <v>1</v>
      </c>
      <c r="D3" s="3"/>
    </row>
    <row r="4" spans="2:17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  <c r="L4" s="22" t="s">
        <v>18</v>
      </c>
    </row>
    <row r="5" spans="2:17">
      <c r="B5" s="15" t="s">
        <v>12</v>
      </c>
      <c r="C5" s="12">
        <v>8755</v>
      </c>
      <c r="D5" s="12">
        <v>9899</v>
      </c>
      <c r="E5" s="12">
        <v>7848</v>
      </c>
      <c r="F5" s="12">
        <v>14029</v>
      </c>
      <c r="G5" s="12">
        <v>17406</v>
      </c>
      <c r="H5" s="10">
        <v>20194</v>
      </c>
      <c r="K5" s="18" t="s">
        <v>17</v>
      </c>
      <c r="L5" s="23">
        <v>2019</v>
      </c>
      <c r="M5" s="24">
        <v>2020</v>
      </c>
      <c r="N5" s="25">
        <v>2021</v>
      </c>
      <c r="O5" s="26">
        <v>2022</v>
      </c>
      <c r="P5" s="27">
        <v>2023</v>
      </c>
      <c r="Q5" s="28">
        <v>2024</v>
      </c>
    </row>
    <row r="6" spans="2:17">
      <c r="B6" s="16" t="s">
        <v>15</v>
      </c>
      <c r="C6">
        <v>111203</v>
      </c>
      <c r="D6">
        <v>86180</v>
      </c>
      <c r="E6">
        <v>131341</v>
      </c>
      <c r="F6">
        <v>282415</v>
      </c>
      <c r="G6">
        <v>372767</v>
      </c>
      <c r="H6">
        <v>151842</v>
      </c>
      <c r="K6" s="43" t="s">
        <v>12</v>
      </c>
      <c r="L6" s="86"/>
      <c r="M6" s="87"/>
      <c r="N6" s="87"/>
      <c r="O6" s="87"/>
      <c r="P6" s="87"/>
      <c r="Q6" s="88"/>
    </row>
    <row r="7" spans="2:17">
      <c r="B7" s="17" t="s">
        <v>16</v>
      </c>
      <c r="C7" s="10">
        <f>521272/1000</f>
        <v>521.27200000000005</v>
      </c>
      <c r="D7" s="10">
        <f>2138875/1000</f>
        <v>2138.875</v>
      </c>
      <c r="E7" s="10">
        <f>888172/1000</f>
        <v>888.17200000000003</v>
      </c>
      <c r="F7" s="60">
        <f>952576/1000</f>
        <v>952.57600000000002</v>
      </c>
      <c r="G7" s="60">
        <f>1230199/1000</f>
        <v>1230.1990000000001</v>
      </c>
      <c r="H7" s="60">
        <f>985030/1000</f>
        <v>985.03</v>
      </c>
      <c r="K7" s="20" t="s">
        <v>37</v>
      </c>
      <c r="L7" s="65">
        <f t="shared" ref="L7:Q7" si="0">C5/C12</f>
        <v>1.1073867948393625</v>
      </c>
      <c r="M7" s="63">
        <f t="shared" si="0"/>
        <v>1.0305017697272538</v>
      </c>
      <c r="N7" s="63">
        <f t="shared" si="0"/>
        <v>0.7579679350975469</v>
      </c>
      <c r="O7" s="63">
        <f t="shared" si="0"/>
        <v>0.99250088432967809</v>
      </c>
      <c r="P7" s="63">
        <f t="shared" si="0"/>
        <v>1.2611215765831039</v>
      </c>
      <c r="Q7" s="64">
        <f t="shared" si="0"/>
        <v>1.1538769213187818</v>
      </c>
    </row>
    <row r="8" spans="2:17">
      <c r="K8" s="83" t="s">
        <v>15</v>
      </c>
      <c r="L8" s="74"/>
      <c r="M8" s="75"/>
      <c r="N8" s="75"/>
      <c r="O8" s="75"/>
      <c r="P8" s="75"/>
      <c r="Q8" s="76"/>
    </row>
    <row r="9" spans="2:17">
      <c r="K9" s="20" t="s">
        <v>37</v>
      </c>
      <c r="L9" s="65">
        <f t="shared" ref="L9:Q9" si="1">C6/C13</f>
        <v>1.5617960169658156</v>
      </c>
      <c r="M9" s="63">
        <f t="shared" si="1"/>
        <v>1.0253664572625167</v>
      </c>
      <c r="N9" s="63">
        <f t="shared" si="1"/>
        <v>1.230314554958128</v>
      </c>
      <c r="O9" s="63">
        <f t="shared" si="1"/>
        <v>0.90177439594861697</v>
      </c>
      <c r="P9" s="63">
        <f t="shared" si="1"/>
        <v>1.4110448258371249</v>
      </c>
      <c r="Q9" s="64">
        <f t="shared" si="1"/>
        <v>0.59653961294580771</v>
      </c>
    </row>
    <row r="10" spans="2:17">
      <c r="C10" s="3" t="s">
        <v>6</v>
      </c>
      <c r="D10" s="3"/>
      <c r="K10" s="84" t="s">
        <v>16</v>
      </c>
      <c r="L10" s="74"/>
      <c r="M10" s="75"/>
      <c r="N10" s="75"/>
      <c r="O10" s="75"/>
      <c r="P10" s="75"/>
      <c r="Q10" s="76"/>
    </row>
    <row r="11" spans="2:17">
      <c r="C11" s="4">
        <v>2019</v>
      </c>
      <c r="D11" s="5">
        <v>2020</v>
      </c>
      <c r="E11" s="6">
        <v>2021</v>
      </c>
      <c r="F11" s="7">
        <v>2022</v>
      </c>
      <c r="G11" s="8">
        <v>2023</v>
      </c>
      <c r="H11" s="9">
        <v>2024</v>
      </c>
      <c r="K11" s="21" t="s">
        <v>37</v>
      </c>
      <c r="L11" s="69">
        <f t="shared" ref="L11:Q11" si="2">C7/C14</f>
        <v>0.37124779575360306</v>
      </c>
      <c r="M11" s="70">
        <f t="shared" si="2"/>
        <v>0.74001859323204966</v>
      </c>
      <c r="N11" s="70">
        <f t="shared" si="2"/>
        <v>0.4114316949509782</v>
      </c>
      <c r="O11" s="70">
        <f t="shared" si="2"/>
        <v>0.41846989739189949</v>
      </c>
      <c r="P11" s="70">
        <f t="shared" si="2"/>
        <v>0.47072056042653393</v>
      </c>
      <c r="Q11" s="71">
        <f t="shared" si="2"/>
        <v>0.3237648664354475</v>
      </c>
    </row>
    <row r="12" spans="2:17">
      <c r="B12" s="15" t="s">
        <v>12</v>
      </c>
      <c r="C12" s="10">
        <v>7906</v>
      </c>
      <c r="D12" s="12">
        <v>9606</v>
      </c>
      <c r="E12" s="10">
        <v>10354</v>
      </c>
      <c r="F12" s="12">
        <v>14135</v>
      </c>
      <c r="G12" s="12">
        <v>13802</v>
      </c>
      <c r="H12">
        <v>17501</v>
      </c>
      <c r="K12" s="89"/>
      <c r="L12" s="67"/>
      <c r="M12" s="67"/>
      <c r="N12" s="67"/>
      <c r="O12" s="67"/>
      <c r="P12" s="67"/>
      <c r="Q12" s="67"/>
    </row>
    <row r="13" spans="2:17">
      <c r="B13" s="16" t="s">
        <v>15</v>
      </c>
      <c r="C13">
        <v>71202</v>
      </c>
      <c r="D13">
        <v>84048</v>
      </c>
      <c r="E13">
        <v>106754</v>
      </c>
      <c r="F13">
        <v>313177</v>
      </c>
      <c r="G13">
        <v>264178</v>
      </c>
      <c r="H13">
        <v>254538</v>
      </c>
      <c r="K13" s="89"/>
      <c r="L13" s="67"/>
      <c r="M13" s="67"/>
      <c r="N13" s="67"/>
      <c r="O13" s="67"/>
      <c r="P13" s="67"/>
      <c r="Q13" s="67"/>
    </row>
    <row r="14" spans="2:17">
      <c r="B14" s="17" t="s">
        <v>16</v>
      </c>
      <c r="C14" s="10">
        <v>1404.1079999999999</v>
      </c>
      <c r="D14" s="10">
        <v>2890.299</v>
      </c>
      <c r="E14" s="10">
        <v>2158.7350000000001</v>
      </c>
      <c r="F14" s="10">
        <v>2276.3310000000001</v>
      </c>
      <c r="G14" s="10">
        <v>2613.4380000000001</v>
      </c>
      <c r="H14" s="10">
        <v>3042.424</v>
      </c>
      <c r="K14" s="89"/>
      <c r="L14" s="67"/>
      <c r="M14" s="67"/>
      <c r="N14" s="67"/>
      <c r="O14" s="67"/>
      <c r="P14" s="67"/>
      <c r="Q14" s="67"/>
    </row>
  </sheetData>
  <conditionalFormatting sqref="L12:Q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Q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Q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8416-33B7-4B86-A766-F9AEEF04F317}">
  <dimension ref="C3:E24"/>
  <sheetViews>
    <sheetView zoomScale="70" zoomScaleNormal="70" workbookViewId="0">
      <selection activeCell="C3" sqref="C3:E24"/>
    </sheetView>
  </sheetViews>
  <sheetFormatPr defaultRowHeight="14.4"/>
  <cols>
    <col min="2" max="2" width="18.5546875" bestFit="1" customWidth="1"/>
    <col min="3" max="4" width="13.109375" bestFit="1" customWidth="1"/>
    <col min="5" max="5" width="18.5546875" bestFit="1" customWidth="1"/>
    <col min="6" max="6" width="10" bestFit="1" customWidth="1"/>
    <col min="9" max="9" width="18.5546875" bestFit="1" customWidth="1"/>
    <col min="12" max="12" width="17.88671875" bestFit="1" customWidth="1"/>
    <col min="13" max="15" width="17.6640625" bestFit="1" customWidth="1"/>
    <col min="19" max="19" width="18.5546875" bestFit="1" customWidth="1"/>
  </cols>
  <sheetData>
    <row r="3" spans="3:5">
      <c r="C3" t="s">
        <v>13</v>
      </c>
      <c r="D3" s="3" t="s">
        <v>1</v>
      </c>
      <c r="E3" s="3" t="s">
        <v>2</v>
      </c>
    </row>
    <row r="4" spans="3:5">
      <c r="C4" t="s">
        <v>18</v>
      </c>
      <c r="D4" s="15" t="s">
        <v>12</v>
      </c>
      <c r="E4" s="15"/>
    </row>
    <row r="5" spans="3:5">
      <c r="C5" s="4">
        <v>2019</v>
      </c>
      <c r="D5" s="12">
        <v>8755</v>
      </c>
      <c r="E5" s="10">
        <v>7696</v>
      </c>
    </row>
    <row r="6" spans="3:5">
      <c r="C6" s="5">
        <v>2020</v>
      </c>
      <c r="D6" s="12">
        <v>9899</v>
      </c>
      <c r="E6" s="10">
        <v>8655</v>
      </c>
    </row>
    <row r="7" spans="3:5">
      <c r="C7" s="6">
        <v>2021</v>
      </c>
      <c r="D7" s="12">
        <v>7848</v>
      </c>
      <c r="E7" s="12">
        <v>8092</v>
      </c>
    </row>
    <row r="8" spans="3:5">
      <c r="C8" s="7">
        <v>2022</v>
      </c>
      <c r="D8" s="12">
        <v>14029</v>
      </c>
      <c r="E8" s="12">
        <v>10011</v>
      </c>
    </row>
    <row r="9" spans="3:5">
      <c r="C9" s="8">
        <v>2023</v>
      </c>
      <c r="D9" s="12">
        <v>17406</v>
      </c>
      <c r="E9" s="10">
        <v>15190</v>
      </c>
    </row>
    <row r="10" spans="3:5">
      <c r="C10" s="9">
        <v>2024</v>
      </c>
      <c r="D10" s="10">
        <v>20194</v>
      </c>
      <c r="E10" s="10">
        <v>17919</v>
      </c>
    </row>
    <row r="11" spans="3:5">
      <c r="D11" s="16" t="s">
        <v>15</v>
      </c>
      <c r="E11" s="16"/>
    </row>
    <row r="12" spans="3:5">
      <c r="C12" s="4">
        <v>2019</v>
      </c>
      <c r="D12">
        <v>111203</v>
      </c>
      <c r="E12">
        <v>1717</v>
      </c>
    </row>
    <row r="13" spans="3:5">
      <c r="C13" s="5">
        <v>2020</v>
      </c>
      <c r="D13">
        <v>86180</v>
      </c>
      <c r="E13">
        <v>6226</v>
      </c>
    </row>
    <row r="14" spans="3:5">
      <c r="C14" s="6">
        <v>2021</v>
      </c>
      <c r="D14">
        <v>131341</v>
      </c>
      <c r="E14">
        <v>15940</v>
      </c>
    </row>
    <row r="15" spans="3:5">
      <c r="C15" s="7">
        <v>2022</v>
      </c>
      <c r="D15">
        <v>282415</v>
      </c>
      <c r="E15">
        <v>11020</v>
      </c>
    </row>
    <row r="16" spans="3:5">
      <c r="C16" s="8">
        <v>2023</v>
      </c>
      <c r="D16">
        <v>372767</v>
      </c>
      <c r="E16">
        <v>25583</v>
      </c>
    </row>
    <row r="17" spans="3:5">
      <c r="C17" s="9">
        <v>2024</v>
      </c>
      <c r="D17">
        <v>151842</v>
      </c>
      <c r="E17">
        <v>3121</v>
      </c>
    </row>
    <row r="18" spans="3:5">
      <c r="D18" s="17" t="s">
        <v>16</v>
      </c>
      <c r="E18" s="17"/>
    </row>
    <row r="19" spans="3:5">
      <c r="C19" s="4">
        <v>2019</v>
      </c>
      <c r="D19" s="10">
        <f>521272/1000</f>
        <v>521.27200000000005</v>
      </c>
      <c r="E19" s="10">
        <v>187.95699999999999</v>
      </c>
    </row>
    <row r="20" spans="3:5">
      <c r="C20" s="5">
        <v>2020</v>
      </c>
      <c r="D20" s="10">
        <f>2138875/1000</f>
        <v>2138.875</v>
      </c>
      <c r="E20" s="10">
        <v>498.87200000000001</v>
      </c>
    </row>
    <row r="21" spans="3:5">
      <c r="C21" s="6">
        <v>2021</v>
      </c>
      <c r="D21" s="10">
        <f>888172/1000</f>
        <v>888.17200000000003</v>
      </c>
      <c r="E21" s="10">
        <v>422.40499999999997</v>
      </c>
    </row>
    <row r="22" spans="3:5">
      <c r="C22" s="7">
        <v>2022</v>
      </c>
      <c r="D22" s="60">
        <f>952576/1000</f>
        <v>952.57600000000002</v>
      </c>
      <c r="E22" s="10">
        <v>351.351</v>
      </c>
    </row>
    <row r="23" spans="3:5">
      <c r="C23" s="8">
        <v>2023</v>
      </c>
      <c r="D23" s="60">
        <f>1230199/1000</f>
        <v>1230.1990000000001</v>
      </c>
      <c r="E23" s="10">
        <v>434.63900000000001</v>
      </c>
    </row>
    <row r="24" spans="3:5">
      <c r="C24" s="9">
        <v>2024</v>
      </c>
      <c r="D24" s="60">
        <f>985030/1000</f>
        <v>985.03</v>
      </c>
      <c r="E24" s="10">
        <v>401.21699999999998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408-7AC2-4906-B947-2C07171C3554}">
  <dimension ref="C2:G22"/>
  <sheetViews>
    <sheetView zoomScale="70" zoomScaleNormal="70" workbookViewId="0">
      <selection activeCell="P31" sqref="P31"/>
    </sheetView>
  </sheetViews>
  <sheetFormatPr defaultRowHeight="14.4"/>
  <cols>
    <col min="3" max="3" width="4.88671875" bestFit="1" customWidth="1"/>
    <col min="4" max="4" width="9.33203125" bestFit="1" customWidth="1"/>
    <col min="5" max="5" width="10" bestFit="1" customWidth="1"/>
    <col min="6" max="6" width="18.6640625" bestFit="1" customWidth="1"/>
    <col min="7" max="7" width="17.6640625" customWidth="1"/>
    <col min="8" max="8" width="18.6640625" bestFit="1" customWidth="1"/>
    <col min="9" max="9" width="10" bestFit="1" customWidth="1"/>
    <col min="10" max="10" width="18.6640625" bestFit="1" customWidth="1"/>
  </cols>
  <sheetData>
    <row r="2" spans="3:7">
      <c r="C2" s="18"/>
      <c r="D2" s="18" t="s">
        <v>17</v>
      </c>
      <c r="E2" s="18" t="s">
        <v>12</v>
      </c>
      <c r="F2" s="18" t="s">
        <v>35</v>
      </c>
      <c r="G2" s="18" t="s">
        <v>20</v>
      </c>
    </row>
    <row r="3" spans="3:7">
      <c r="C3" s="18" t="s">
        <v>18</v>
      </c>
      <c r="D3" s="18">
        <v>2019</v>
      </c>
      <c r="E3" s="18"/>
      <c r="F3" s="92">
        <v>1.808525754884547</v>
      </c>
      <c r="G3" s="91">
        <v>0.15701598579040851</v>
      </c>
    </row>
    <row r="4" spans="3:7">
      <c r="C4" s="18"/>
      <c r="D4" s="18">
        <v>2020</v>
      </c>
      <c r="E4" s="18"/>
      <c r="F4" s="92">
        <v>1.9581151832460733</v>
      </c>
      <c r="G4" s="91">
        <v>0.12965814598090544</v>
      </c>
    </row>
    <row r="5" spans="3:7">
      <c r="C5" s="18"/>
      <c r="D5" s="18">
        <v>2021</v>
      </c>
      <c r="E5" s="18"/>
      <c r="F5" s="92">
        <v>2.3745110821382007</v>
      </c>
      <c r="G5" s="91">
        <v>-6.1929595827900911E-2</v>
      </c>
    </row>
    <row r="6" spans="3:7">
      <c r="C6" s="18"/>
      <c r="D6" s="18">
        <v>2022</v>
      </c>
      <c r="E6" s="18"/>
      <c r="F6" s="92">
        <v>3.3199877750611249</v>
      </c>
      <c r="G6" s="91">
        <v>0.29125916870415647</v>
      </c>
    </row>
    <row r="7" spans="3:7">
      <c r="C7" s="18"/>
      <c r="D7" s="18">
        <v>2023</v>
      </c>
      <c r="E7" s="18"/>
      <c r="F7" s="92">
        <v>1.8946364214543141</v>
      </c>
      <c r="G7" s="91">
        <v>0.34174263302946789</v>
      </c>
    </row>
    <row r="8" spans="3:7">
      <c r="C8" s="18"/>
      <c r="D8" s="18">
        <v>2024</v>
      </c>
      <c r="E8" s="18"/>
      <c r="F8" s="92">
        <v>1.7135043379856658</v>
      </c>
      <c r="G8" s="91">
        <v>0.32949830252734819</v>
      </c>
    </row>
    <row r="9" spans="3:7">
      <c r="E9" s="18" t="s">
        <v>15</v>
      </c>
      <c r="F9" s="92" t="s">
        <v>35</v>
      </c>
      <c r="G9" s="91" t="s">
        <v>20</v>
      </c>
    </row>
    <row r="10" spans="3:7">
      <c r="D10" s="18">
        <v>2019</v>
      </c>
      <c r="E10" s="18"/>
      <c r="F10" s="92">
        <v>0.8442769445955397</v>
      </c>
      <c r="G10" s="91">
        <v>0.11132696143186468</v>
      </c>
    </row>
    <row r="11" spans="3:7">
      <c r="D11" s="18">
        <v>2020</v>
      </c>
      <c r="E11" s="18"/>
      <c r="F11" s="92">
        <v>0.97780084455872984</v>
      </c>
      <c r="G11" s="91">
        <v>6.6644648375757856E-2</v>
      </c>
    </row>
    <row r="12" spans="3:7">
      <c r="D12" s="18">
        <v>2021</v>
      </c>
      <c r="E12" s="18"/>
      <c r="F12" s="92">
        <v>1.0303929400129332</v>
      </c>
      <c r="G12" s="91">
        <v>0.21278861881395261</v>
      </c>
    </row>
    <row r="13" spans="3:7">
      <c r="D13" s="18">
        <v>2022</v>
      </c>
      <c r="E13" s="18"/>
      <c r="F13" s="92">
        <v>0.94590175389560482</v>
      </c>
      <c r="G13" s="91">
        <v>0.2782405142897072</v>
      </c>
    </row>
    <row r="14" spans="3:7">
      <c r="D14" s="18">
        <v>2023</v>
      </c>
      <c r="E14" s="18"/>
      <c r="F14" s="92">
        <v>0.41434913174043608</v>
      </c>
      <c r="G14" s="91">
        <v>0.13531139835487663</v>
      </c>
    </row>
    <row r="15" spans="3:7">
      <c r="D15" s="18">
        <v>2024</v>
      </c>
      <c r="E15" s="18"/>
      <c r="F15" s="92">
        <v>0.73522213662919511</v>
      </c>
      <c r="G15" s="91">
        <v>1.925161395878355E-2</v>
      </c>
    </row>
    <row r="16" spans="3:7">
      <c r="E16" s="18" t="s">
        <v>16</v>
      </c>
      <c r="F16" s="92" t="s">
        <v>35</v>
      </c>
      <c r="G16" s="91" t="s">
        <v>20</v>
      </c>
    </row>
    <row r="17" spans="4:7">
      <c r="D17" s="18">
        <v>2019</v>
      </c>
      <c r="E17" s="18"/>
      <c r="F17" s="92">
        <v>0.39343337092807762</v>
      </c>
      <c r="G17" s="91">
        <v>0.15856269292932398</v>
      </c>
    </row>
    <row r="18" spans="4:7">
      <c r="D18" s="18">
        <v>2020</v>
      </c>
      <c r="E18" s="18"/>
      <c r="F18" s="92">
        <v>0.62523560847333948</v>
      </c>
      <c r="G18" s="91">
        <v>0.526823065651571</v>
      </c>
    </row>
    <row r="19" spans="4:7">
      <c r="D19" s="18">
        <v>2021</v>
      </c>
      <c r="E19" s="18"/>
      <c r="F19" s="92">
        <v>0.13830557719879474</v>
      </c>
      <c r="G19" s="91">
        <v>0.11027916611238858</v>
      </c>
    </row>
    <row r="20" spans="4:7">
      <c r="D20" s="18">
        <v>2022</v>
      </c>
      <c r="E20" s="18"/>
      <c r="F20" s="92">
        <v>0.22840648083699161</v>
      </c>
      <c r="G20" s="91">
        <v>0.17056204730967686</v>
      </c>
    </row>
    <row r="21" spans="4:7">
      <c r="D21" s="18">
        <v>2023</v>
      </c>
      <c r="E21" s="18"/>
      <c r="F21" s="92">
        <v>0.16808890405202437</v>
      </c>
      <c r="G21" s="91">
        <v>0.20016933708898313</v>
      </c>
    </row>
    <row r="22" spans="4:7">
      <c r="D22" s="18">
        <v>2024</v>
      </c>
      <c r="E22" s="18"/>
      <c r="F22" s="92">
        <v>0.16674599300809415</v>
      </c>
      <c r="G22" s="91">
        <v>0.16777217712780565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AAB4-CED2-4DFC-8517-9C7D3120F370}">
  <dimension ref="B1:AG26"/>
  <sheetViews>
    <sheetView zoomScale="70" zoomScaleNormal="70" workbookViewId="0">
      <selection activeCell="M4" sqref="M4"/>
    </sheetView>
  </sheetViews>
  <sheetFormatPr defaultRowHeight="14.4"/>
  <cols>
    <col min="2" max="2" width="8.33203125" customWidth="1"/>
    <col min="3" max="3" width="9.5546875" customWidth="1"/>
    <col min="6" max="6" width="14" bestFit="1" customWidth="1"/>
    <col min="7" max="8" width="13.6640625" bestFit="1" customWidth="1"/>
    <col min="10" max="10" width="7.44140625" customWidth="1"/>
    <col min="11" max="11" width="14.88671875" customWidth="1"/>
    <col min="12" max="12" width="13.6640625" customWidth="1"/>
    <col min="13" max="15" width="14.33203125" bestFit="1" customWidth="1"/>
    <col min="16" max="16" width="14.44140625" bestFit="1" customWidth="1"/>
    <col min="17" max="17" width="13.6640625" bestFit="1" customWidth="1"/>
    <col min="18" max="18" width="11.5546875" bestFit="1" customWidth="1"/>
    <col min="19" max="19" width="17.33203125" customWidth="1"/>
    <col min="20" max="21" width="13.6640625" bestFit="1" customWidth="1"/>
    <col min="22" max="22" width="14.33203125" bestFit="1" customWidth="1"/>
    <col min="23" max="23" width="13.6640625" bestFit="1" customWidth="1"/>
    <col min="24" max="24" width="14.44140625" bestFit="1" customWidth="1"/>
    <col min="25" max="25" width="13.6640625" bestFit="1" customWidth="1"/>
    <col min="26" max="26" width="11.5546875" bestFit="1" customWidth="1"/>
    <col min="27" max="27" width="13.6640625" bestFit="1" customWidth="1"/>
    <col min="28" max="28" width="14.33203125" bestFit="1" customWidth="1"/>
    <col min="29" max="29" width="13.44140625" customWidth="1"/>
    <col min="30" max="30" width="13.5546875" customWidth="1"/>
    <col min="31" max="31" width="15.109375" customWidth="1"/>
    <col min="32" max="33" width="13.6640625" customWidth="1"/>
  </cols>
  <sheetData>
    <row r="1" spans="2:33">
      <c r="B1" t="s">
        <v>12</v>
      </c>
    </row>
    <row r="2" spans="2:33" ht="22.5" customHeight="1">
      <c r="B2" s="94" t="s">
        <v>18</v>
      </c>
      <c r="C2" s="94" t="s">
        <v>20</v>
      </c>
      <c r="D2" s="94" t="s">
        <v>19</v>
      </c>
      <c r="E2" s="94" t="s">
        <v>21</v>
      </c>
      <c r="F2" s="94" t="s">
        <v>38</v>
      </c>
      <c r="G2" s="94" t="s">
        <v>30</v>
      </c>
      <c r="H2" s="94" t="s">
        <v>31</v>
      </c>
    </row>
    <row r="3" spans="2:33">
      <c r="B3" s="11">
        <v>2019</v>
      </c>
      <c r="C3" s="59">
        <v>0.15701598579040851</v>
      </c>
      <c r="D3" s="59">
        <v>5.0485436893203881E-2</v>
      </c>
      <c r="E3" s="59">
        <v>5.590690614722995E-2</v>
      </c>
      <c r="F3" s="59">
        <v>1.808525754884547</v>
      </c>
      <c r="G3" s="59">
        <v>1.0693995829543799</v>
      </c>
      <c r="H3" s="59">
        <v>0.59714956402366781</v>
      </c>
      <c r="R3" s="96"/>
    </row>
    <row r="4" spans="2:33">
      <c r="B4" s="11">
        <v>2020</v>
      </c>
      <c r="C4" s="59">
        <v>0.12965814598090544</v>
      </c>
      <c r="D4" s="59">
        <v>4.2529548439236287E-2</v>
      </c>
      <c r="E4" s="59">
        <v>4.3826774932333959E-2</v>
      </c>
      <c r="F4" s="59">
        <v>1.9581151832460733</v>
      </c>
      <c r="G4" s="59">
        <v>1.1675532646477782</v>
      </c>
      <c r="H4" s="59">
        <v>0.72024275425742079</v>
      </c>
    </row>
    <row r="5" spans="2:33">
      <c r="B5" s="11">
        <v>2021</v>
      </c>
      <c r="C5" s="59">
        <v>-6.1929595827900911E-2</v>
      </c>
      <c r="D5" s="59">
        <v>-2.4209989806320081E-2</v>
      </c>
      <c r="E5" s="59">
        <v>-1.8350395982229092E-2</v>
      </c>
      <c r="F5" s="59">
        <v>2.3745110821382007</v>
      </c>
      <c r="G5" s="59">
        <v>1.1346857342457171</v>
      </c>
      <c r="H5" s="59">
        <v>0.63746658934277656</v>
      </c>
    </row>
    <row r="6" spans="2:33">
      <c r="B6" s="11">
        <v>2022</v>
      </c>
      <c r="C6" s="59">
        <v>0.29125916870415647</v>
      </c>
      <c r="D6" s="59">
        <v>6.7930714947608523E-2</v>
      </c>
      <c r="E6" s="59">
        <v>6.7421294658648739E-2</v>
      </c>
      <c r="F6" s="59">
        <v>3.3199877750611249</v>
      </c>
      <c r="G6" s="59">
        <v>1.0330043959736812</v>
      </c>
      <c r="H6" s="59">
        <v>0.47137093796857293</v>
      </c>
    </row>
    <row r="7" spans="2:33">
      <c r="B7" s="11">
        <v>2023</v>
      </c>
      <c r="C7" s="59">
        <v>0.34174263302946789</v>
      </c>
      <c r="D7" s="59">
        <v>9.2611743077099851E-2</v>
      </c>
      <c r="E7" s="59">
        <v>0.11679466743950152</v>
      </c>
      <c r="F7" s="59">
        <v>1.8946364214543141</v>
      </c>
      <c r="G7" s="59">
        <v>1.0309515387336399</v>
      </c>
      <c r="H7" s="59">
        <v>0.49327909444640961</v>
      </c>
    </row>
    <row r="8" spans="2:33">
      <c r="B8" s="11">
        <v>2024</v>
      </c>
      <c r="C8" s="59">
        <v>0.32949830252734819</v>
      </c>
      <c r="D8" s="59">
        <v>8.6510844805387732E-2</v>
      </c>
      <c r="E8" s="59">
        <v>9.9822867264727735E-2</v>
      </c>
      <c r="F8" s="59">
        <v>1.7135043379856658</v>
      </c>
      <c r="G8" s="59">
        <v>0.90251981545013604</v>
      </c>
      <c r="H8" s="59">
        <v>0.35017153673252099</v>
      </c>
    </row>
    <row r="9" spans="2:33" ht="25.8">
      <c r="C9" s="59"/>
      <c r="D9" s="59"/>
      <c r="E9" s="59"/>
      <c r="F9" s="59"/>
      <c r="G9" s="59"/>
      <c r="H9" s="59"/>
      <c r="M9" s="97" t="s">
        <v>39</v>
      </c>
      <c r="N9" s="97"/>
      <c r="T9" s="97" t="s">
        <v>40</v>
      </c>
      <c r="AB9" s="97" t="s">
        <v>41</v>
      </c>
      <c r="AC9" s="98"/>
    </row>
    <row r="10" spans="2:33">
      <c r="B10" t="s">
        <v>0</v>
      </c>
      <c r="C10" s="59"/>
      <c r="D10" s="59"/>
      <c r="E10" s="59"/>
      <c r="F10" s="59"/>
      <c r="G10" s="59"/>
      <c r="H10" s="59"/>
    </row>
    <row r="11" spans="2:33">
      <c r="B11" s="94" t="s">
        <v>18</v>
      </c>
      <c r="C11" s="95" t="s">
        <v>20</v>
      </c>
      <c r="D11" s="95" t="s">
        <v>19</v>
      </c>
      <c r="E11" s="95" t="s">
        <v>21</v>
      </c>
      <c r="F11" s="95" t="s">
        <v>38</v>
      </c>
      <c r="G11" s="95" t="s">
        <v>30</v>
      </c>
      <c r="H11" s="95" t="s">
        <v>31</v>
      </c>
      <c r="K11" s="99"/>
      <c r="L11" s="99" t="s">
        <v>20</v>
      </c>
      <c r="M11" s="99" t="s">
        <v>19</v>
      </c>
      <c r="N11" s="99" t="s">
        <v>21</v>
      </c>
      <c r="O11" s="99" t="s">
        <v>38</v>
      </c>
      <c r="P11" s="99" t="s">
        <v>30</v>
      </c>
      <c r="Q11" s="99" t="s">
        <v>31</v>
      </c>
      <c r="R11" s="101"/>
      <c r="S11" s="99"/>
      <c r="T11" s="99" t="s">
        <v>20</v>
      </c>
      <c r="U11" s="99" t="s">
        <v>19</v>
      </c>
      <c r="V11" s="99" t="s">
        <v>21</v>
      </c>
      <c r="W11" s="99" t="s">
        <v>38</v>
      </c>
      <c r="X11" s="99" t="s">
        <v>30</v>
      </c>
      <c r="Y11" s="99" t="s">
        <v>31</v>
      </c>
      <c r="AA11" s="99"/>
      <c r="AB11" s="99" t="s">
        <v>20</v>
      </c>
      <c r="AC11" s="99" t="s">
        <v>19</v>
      </c>
      <c r="AD11" s="99" t="s">
        <v>21</v>
      </c>
      <c r="AE11" s="99" t="s">
        <v>38</v>
      </c>
      <c r="AF11" s="99" t="s">
        <v>30</v>
      </c>
      <c r="AG11" s="99" t="s">
        <v>31</v>
      </c>
    </row>
    <row r="12" spans="2:33" ht="62.25" customHeight="1">
      <c r="B12" s="11">
        <v>2019</v>
      </c>
      <c r="C12">
        <v>0.11132696143186468</v>
      </c>
      <c r="D12">
        <v>3.8650036419880761E-2</v>
      </c>
      <c r="E12">
        <v>6.0363472936153476E-2</v>
      </c>
      <c r="F12" s="59">
        <v>0.8442769445955397</v>
      </c>
      <c r="G12" s="59">
        <v>1.7464442013129102</v>
      </c>
      <c r="H12" s="59">
        <v>0.9218271334792123</v>
      </c>
      <c r="K12" s="100" t="s">
        <v>20</v>
      </c>
      <c r="L12" s="100">
        <v>1</v>
      </c>
      <c r="M12" s="100">
        <v>0.98345715744780327</v>
      </c>
      <c r="N12" s="100">
        <v>0.96898023043047421</v>
      </c>
      <c r="O12" s="100">
        <v>-3.4591424663944881E-2</v>
      </c>
      <c r="P12" s="100">
        <v>-0.75305986464592423</v>
      </c>
      <c r="Q12" s="100">
        <v>-0.75778269871508663</v>
      </c>
      <c r="R12" s="101"/>
      <c r="S12" s="100" t="s">
        <v>20</v>
      </c>
      <c r="T12" s="100">
        <v>1</v>
      </c>
      <c r="U12" s="100">
        <v>0.96865770974331011</v>
      </c>
      <c r="V12" s="100">
        <v>0.99026142008411489</v>
      </c>
      <c r="W12" s="100">
        <v>0.30302685358711251</v>
      </c>
      <c r="X12" s="100">
        <v>0.13406023078970561</v>
      </c>
      <c r="Y12" s="100">
        <v>0.27338670806179211</v>
      </c>
      <c r="AA12" s="100" t="s">
        <v>20</v>
      </c>
      <c r="AB12" s="100">
        <v>1</v>
      </c>
      <c r="AC12" s="100">
        <v>0.76883762235790043</v>
      </c>
      <c r="AD12" s="100">
        <v>0.99480271152895461</v>
      </c>
      <c r="AE12" s="100">
        <v>0.86793651341858458</v>
      </c>
      <c r="AF12" s="100">
        <v>-0.3158760775499263</v>
      </c>
      <c r="AG12" s="100">
        <v>-0.30582360532431807</v>
      </c>
    </row>
    <row r="13" spans="2:33" ht="57" customHeight="1">
      <c r="B13" s="11">
        <v>2020</v>
      </c>
      <c r="C13">
        <v>6.6644648375757856E-2</v>
      </c>
      <c r="D13">
        <v>3.2780227430958458E-2</v>
      </c>
      <c r="E13">
        <v>3.3611745669141442E-2</v>
      </c>
      <c r="F13" s="59">
        <v>0.97780084455872984</v>
      </c>
      <c r="G13" s="59">
        <v>1.0737654859535857</v>
      </c>
      <c r="H13" s="59">
        <v>0.53812598150410051</v>
      </c>
      <c r="K13" s="100" t="s">
        <v>19</v>
      </c>
      <c r="L13" s="100">
        <v>0.98345715744780327</v>
      </c>
      <c r="M13" s="100">
        <v>1</v>
      </c>
      <c r="N13" s="100">
        <v>0.98566044573834966</v>
      </c>
      <c r="O13" s="100">
        <v>-0.16930692977072648</v>
      </c>
      <c r="P13" s="100">
        <v>-0.6952921501395688</v>
      </c>
      <c r="Q13" s="100">
        <v>-0.6675879437024026</v>
      </c>
      <c r="R13" s="101"/>
      <c r="S13" s="100" t="s">
        <v>19</v>
      </c>
      <c r="T13" s="100">
        <v>0.96865770974331011</v>
      </c>
      <c r="U13" s="100">
        <v>1</v>
      </c>
      <c r="V13" s="100">
        <v>0.93349515614547218</v>
      </c>
      <c r="W13" s="100">
        <v>0.31233644409659983</v>
      </c>
      <c r="X13" s="100">
        <v>-2.1670431919785942E-2</v>
      </c>
      <c r="Y13" s="100">
        <v>0.26864135285356883</v>
      </c>
      <c r="AA13" s="100" t="s">
        <v>19</v>
      </c>
      <c r="AB13" s="100">
        <v>0.76883762235790043</v>
      </c>
      <c r="AC13" s="100">
        <v>1</v>
      </c>
      <c r="AD13" s="100">
        <v>0.80479101988690371</v>
      </c>
      <c r="AE13" s="100">
        <v>0.57532609393378786</v>
      </c>
      <c r="AF13" s="100">
        <v>3.4078185961657396E-2</v>
      </c>
      <c r="AG13" s="100">
        <v>4.8173715745608692E-2</v>
      </c>
    </row>
    <row r="14" spans="2:33" ht="58.5" customHeight="1">
      <c r="B14" s="11">
        <v>2021</v>
      </c>
      <c r="C14">
        <v>0.21278861881395261</v>
      </c>
      <c r="D14">
        <v>8.5182844656276416E-2</v>
      </c>
      <c r="E14">
        <v>0.10480169361335406</v>
      </c>
      <c r="F14" s="59">
        <v>1.0303929400129332</v>
      </c>
      <c r="G14" s="59">
        <v>1.255999735912587</v>
      </c>
      <c r="H14" s="59">
        <v>0.64826857689895356</v>
      </c>
      <c r="K14" s="100" t="s">
        <v>21</v>
      </c>
      <c r="L14" s="100">
        <v>0.96898023043047421</v>
      </c>
      <c r="M14" s="100">
        <v>0.98566044573834966</v>
      </c>
      <c r="N14" s="100">
        <v>1</v>
      </c>
      <c r="O14" s="100">
        <v>-0.2541202083414808</v>
      </c>
      <c r="P14" s="100">
        <v>-0.70999447233680679</v>
      </c>
      <c r="Q14" s="100">
        <v>-0.68341224572549986</v>
      </c>
      <c r="R14" s="101"/>
      <c r="S14" s="100" t="s">
        <v>21</v>
      </c>
      <c r="T14" s="100">
        <v>0.99026142008411489</v>
      </c>
      <c r="U14" s="100">
        <v>0.93349515614547218</v>
      </c>
      <c r="V14" s="100">
        <v>1</v>
      </c>
      <c r="W14" s="100">
        <v>0.20555451251633272</v>
      </c>
      <c r="X14" s="100">
        <v>0.21995650407387962</v>
      </c>
      <c r="Y14" s="100">
        <v>0.32746956444277048</v>
      </c>
      <c r="AA14" s="100" t="s">
        <v>21</v>
      </c>
      <c r="AB14" s="100">
        <v>0.99480271152895461</v>
      </c>
      <c r="AC14" s="100">
        <v>0.80479101988690371</v>
      </c>
      <c r="AD14" s="100">
        <v>1</v>
      </c>
      <c r="AE14" s="100">
        <v>0.82143667307082924</v>
      </c>
      <c r="AF14" s="100">
        <v>-0.22682390264906152</v>
      </c>
      <c r="AG14" s="100">
        <v>-0.2163056232543249</v>
      </c>
    </row>
    <row r="15" spans="2:33" ht="59.25" customHeight="1">
      <c r="B15" s="11">
        <v>2022</v>
      </c>
      <c r="C15">
        <v>0.2782405142897072</v>
      </c>
      <c r="D15">
        <v>0.14099463555406053</v>
      </c>
      <c r="E15">
        <v>0.12714535230875831</v>
      </c>
      <c r="F15" s="59">
        <v>0.94590175389560482</v>
      </c>
      <c r="G15" s="59">
        <v>1.2703944073233373</v>
      </c>
      <c r="H15" s="59">
        <v>0.91780427763035899</v>
      </c>
      <c r="K15" s="100" t="s">
        <v>38</v>
      </c>
      <c r="L15" s="100">
        <v>-3.4591424663944881E-2</v>
      </c>
      <c r="M15" s="100">
        <v>-0.16930692977072648</v>
      </c>
      <c r="N15" s="100">
        <v>-0.2541202083414808</v>
      </c>
      <c r="O15" s="100">
        <v>1</v>
      </c>
      <c r="P15" s="100">
        <v>0.13526766990219802</v>
      </c>
      <c r="Q15" s="100">
        <v>-4.6323871890097137E-2</v>
      </c>
      <c r="R15" s="101"/>
      <c r="S15" s="100" t="s">
        <v>38</v>
      </c>
      <c r="T15" s="100">
        <v>0.30302685358711251</v>
      </c>
      <c r="U15" s="100">
        <v>0.31233644409659983</v>
      </c>
      <c r="V15" s="100">
        <v>0.20555451251633272</v>
      </c>
      <c r="W15" s="100">
        <v>1</v>
      </c>
      <c r="X15" s="100">
        <v>-0.32974246290146647</v>
      </c>
      <c r="Y15" s="100">
        <v>-0.61290274041367665</v>
      </c>
      <c r="AA15" s="100" t="s">
        <v>38</v>
      </c>
      <c r="AB15" s="100">
        <v>0.86793651341858458</v>
      </c>
      <c r="AC15" s="100">
        <v>0.57532609393378786</v>
      </c>
      <c r="AD15" s="100">
        <v>0.82143667307082924</v>
      </c>
      <c r="AE15" s="100">
        <v>1</v>
      </c>
      <c r="AF15" s="100">
        <v>-0.7369615044324529</v>
      </c>
      <c r="AG15" s="100">
        <v>-0.7290733397467799</v>
      </c>
    </row>
    <row r="16" spans="2:33" ht="54.75" customHeight="1">
      <c r="B16" s="11">
        <v>2023</v>
      </c>
      <c r="C16">
        <v>0.13531139835487663</v>
      </c>
      <c r="D16">
        <v>5.5603097913710174E-2</v>
      </c>
      <c r="E16">
        <v>7.8458463611655774E-2</v>
      </c>
      <c r="F16" s="59">
        <v>0.41434913174043608</v>
      </c>
      <c r="G16" s="59">
        <v>1.4658553220512383</v>
      </c>
      <c r="H16" s="59">
        <v>0.96016454239311133</v>
      </c>
      <c r="K16" s="100" t="s">
        <v>30</v>
      </c>
      <c r="L16" s="100">
        <v>-0.75305986464592423</v>
      </c>
      <c r="M16" s="100">
        <v>-0.6952921501395688</v>
      </c>
      <c r="N16" s="100">
        <v>-0.70999447233680679</v>
      </c>
      <c r="O16" s="100">
        <v>0.13526766990219802</v>
      </c>
      <c r="P16" s="100">
        <v>1</v>
      </c>
      <c r="Q16" s="100">
        <v>0.97597376384990664</v>
      </c>
      <c r="R16" s="101"/>
      <c r="S16" s="100" t="s">
        <v>30</v>
      </c>
      <c r="T16" s="100">
        <v>0.13406023078970561</v>
      </c>
      <c r="U16" s="100">
        <v>-2.1670431919785942E-2</v>
      </c>
      <c r="V16" s="100">
        <v>0.21995650407387962</v>
      </c>
      <c r="W16" s="100">
        <v>-0.32974246290146647</v>
      </c>
      <c r="X16" s="100">
        <v>1</v>
      </c>
      <c r="Y16" s="100">
        <v>0.6981743257405657</v>
      </c>
      <c r="AA16" s="100" t="s">
        <v>30</v>
      </c>
      <c r="AB16" s="100">
        <v>-0.3158760775499263</v>
      </c>
      <c r="AC16" s="100">
        <v>3.4078185961657396E-2</v>
      </c>
      <c r="AD16" s="100">
        <v>-0.22682390264906152</v>
      </c>
      <c r="AE16" s="100">
        <v>-0.7369615044324529</v>
      </c>
      <c r="AF16" s="100">
        <v>1</v>
      </c>
      <c r="AG16" s="100">
        <v>0.99987663739087274</v>
      </c>
    </row>
    <row r="17" spans="2:33" ht="54.75" customHeight="1">
      <c r="B17" s="11">
        <v>2024</v>
      </c>
      <c r="C17">
        <v>1.925161395878355E-2</v>
      </c>
      <c r="D17">
        <v>1.8598279790835209E-2</v>
      </c>
      <c r="E17">
        <v>1.1094610627882674E-2</v>
      </c>
      <c r="F17" s="59">
        <v>0.73522213662919511</v>
      </c>
      <c r="G17" s="59">
        <v>1.1380381489690377</v>
      </c>
      <c r="H17" s="59">
        <v>0.78270871112902141</v>
      </c>
      <c r="K17" s="100" t="s">
        <v>31</v>
      </c>
      <c r="L17" s="100">
        <v>-0.75778269871508663</v>
      </c>
      <c r="M17" s="100">
        <v>-0.6675879437024026</v>
      </c>
      <c r="N17" s="100">
        <v>-0.68341224572549986</v>
      </c>
      <c r="O17" s="100">
        <v>-4.6323871890097137E-2</v>
      </c>
      <c r="P17" s="100">
        <v>0.97597376384990664</v>
      </c>
      <c r="Q17" s="100">
        <v>1</v>
      </c>
      <c r="R17" s="101"/>
      <c r="S17" s="100" t="s">
        <v>31</v>
      </c>
      <c r="T17" s="100">
        <v>0.27338670806179211</v>
      </c>
      <c r="U17" s="100">
        <v>0.26864135285356883</v>
      </c>
      <c r="V17" s="100">
        <v>0.32746956444277048</v>
      </c>
      <c r="W17" s="100">
        <v>-0.61290274041367665</v>
      </c>
      <c r="X17" s="100">
        <v>0.6981743257405657</v>
      </c>
      <c r="Y17" s="100">
        <v>1</v>
      </c>
      <c r="AA17" s="100" t="s">
        <v>31</v>
      </c>
      <c r="AB17" s="100">
        <v>-0.30582360532431807</v>
      </c>
      <c r="AC17" s="100">
        <v>4.8173715745608692E-2</v>
      </c>
      <c r="AD17" s="100">
        <v>-0.2163056232543249</v>
      </c>
      <c r="AE17" s="100">
        <v>-0.7290733397467799</v>
      </c>
      <c r="AF17" s="100">
        <v>0.99987663739087274</v>
      </c>
      <c r="AG17" s="100">
        <v>1</v>
      </c>
    </row>
    <row r="18" spans="2:33">
      <c r="C18" s="59"/>
      <c r="D18" s="59"/>
      <c r="E18" s="59"/>
      <c r="F18" s="59"/>
      <c r="G18" s="59"/>
      <c r="H18" s="59"/>
    </row>
    <row r="19" spans="2:33">
      <c r="B19" t="s">
        <v>11</v>
      </c>
      <c r="C19" s="59"/>
      <c r="D19" s="59"/>
      <c r="E19" s="59"/>
      <c r="F19" s="59"/>
      <c r="G19" s="59"/>
      <c r="H19" s="59"/>
    </row>
    <row r="20" spans="2:33" ht="21.75" customHeight="1">
      <c r="B20" s="94" t="s">
        <v>18</v>
      </c>
      <c r="C20" s="95" t="s">
        <v>20</v>
      </c>
      <c r="D20" s="95" t="s">
        <v>19</v>
      </c>
      <c r="E20" s="95" t="s">
        <v>21</v>
      </c>
      <c r="F20" s="95" t="s">
        <v>38</v>
      </c>
      <c r="G20" s="95" t="s">
        <v>30</v>
      </c>
      <c r="H20" s="95" t="s">
        <v>31</v>
      </c>
    </row>
    <row r="21" spans="2:33">
      <c r="B21" s="11">
        <v>2019</v>
      </c>
      <c r="C21">
        <v>0.15856269292932398</v>
      </c>
      <c r="D21">
        <v>0.33632153654905689</v>
      </c>
      <c r="E21">
        <v>0.12485862910830221</v>
      </c>
      <c r="F21" s="59">
        <v>0.39343337092807762</v>
      </c>
      <c r="G21">
        <v>2.6556776556776556</v>
      </c>
      <c r="H21">
        <v>2.6085641025641029</v>
      </c>
    </row>
    <row r="22" spans="2:33">
      <c r="B22" s="11">
        <v>2020</v>
      </c>
      <c r="C22">
        <v>0.526823065651571</v>
      </c>
      <c r="D22">
        <v>0.53773502425340425</v>
      </c>
      <c r="E22">
        <v>0.39793391617960633</v>
      </c>
      <c r="F22" s="59">
        <v>0.62523560847333948</v>
      </c>
      <c r="G22">
        <v>3.9444444444444446</v>
      </c>
      <c r="H22">
        <v>3.9315611111111113</v>
      </c>
    </row>
    <row r="23" spans="2:33">
      <c r="B23" s="11">
        <v>2021</v>
      </c>
      <c r="C23">
        <v>0.11027916611238858</v>
      </c>
      <c r="D23">
        <v>0.23521119783105071</v>
      </c>
      <c r="E23">
        <v>9.6773341795079057E-2</v>
      </c>
      <c r="F23" s="59">
        <v>0.13830557719879474</v>
      </c>
      <c r="G23">
        <v>5.4912280701754383</v>
      </c>
      <c r="H23">
        <v>5.4215526315789475</v>
      </c>
    </row>
    <row r="24" spans="2:33">
      <c r="B24" s="11">
        <v>2022</v>
      </c>
      <c r="C24">
        <v>0.17056204730967686</v>
      </c>
      <c r="D24">
        <v>0.36374105583176564</v>
      </c>
      <c r="E24">
        <v>0.15221468231114016</v>
      </c>
      <c r="F24" s="59">
        <v>0.22840648083699161</v>
      </c>
      <c r="G24">
        <v>5.5480769230769234</v>
      </c>
      <c r="H24">
        <v>5.4870144230769231</v>
      </c>
    </row>
    <row r="25" spans="2:33">
      <c r="B25" s="11">
        <v>2023</v>
      </c>
      <c r="C25">
        <v>0.20016933708898313</v>
      </c>
      <c r="D25">
        <v>0.39107900429117565</v>
      </c>
      <c r="E25">
        <v>0.18408892807099309</v>
      </c>
      <c r="F25" s="59">
        <v>0.16808890405202437</v>
      </c>
      <c r="G25">
        <v>6.8011695906432745</v>
      </c>
      <c r="H25">
        <v>6.7802573099415202</v>
      </c>
    </row>
    <row r="26" spans="2:33">
      <c r="B26" s="11">
        <v>2024</v>
      </c>
      <c r="C26">
        <v>0.16777217712780565</v>
      </c>
      <c r="D26">
        <v>0.47701491325137307</v>
      </c>
      <c r="E26">
        <v>0.1544406696765474</v>
      </c>
      <c r="F26" s="59">
        <v>0.16674599300809415</v>
      </c>
      <c r="G26">
        <v>6.7031963470319633</v>
      </c>
      <c r="H26">
        <v>6.6949680365296809</v>
      </c>
    </row>
  </sheetData>
  <conditionalFormatting sqref="L12:Q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:Y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:AF17 AB16:AE16 AB14:AD15 AB12:AB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6:AF26 AB25:AE25 AB23:AD24 AB21:AB22 AC12:AD13 AE12:AE15 AF12:AF16 AG12:A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:AG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2ABE-903A-4C4F-9EDE-9C3D5388A5BA}">
  <dimension ref="B2:V77"/>
  <sheetViews>
    <sheetView topLeftCell="A4" zoomScale="70" zoomScaleNormal="70" workbookViewId="0">
      <selection activeCell="H23" sqref="B2:H23"/>
    </sheetView>
  </sheetViews>
  <sheetFormatPr defaultRowHeight="14.4"/>
  <cols>
    <col min="4" max="4" width="13.109375" bestFit="1" customWidth="1"/>
    <col min="5" max="5" width="18.5546875" bestFit="1" customWidth="1"/>
    <col min="6" max="6" width="11.33203125" bestFit="1" customWidth="1"/>
    <col min="7" max="7" width="12.5546875" customWidth="1"/>
    <col min="8" max="8" width="14.5546875" customWidth="1"/>
    <col min="9" max="9" width="11.6640625" customWidth="1"/>
    <col min="10" max="10" width="10" bestFit="1" customWidth="1"/>
    <col min="11" max="11" width="23.88671875" bestFit="1" customWidth="1"/>
    <col min="12" max="12" width="26.88671875" bestFit="1" customWidth="1"/>
    <col min="13" max="13" width="19.5546875" bestFit="1" customWidth="1"/>
    <col min="14" max="14" width="17.44140625" bestFit="1" customWidth="1"/>
    <col min="15" max="15" width="19.88671875" bestFit="1" customWidth="1"/>
    <col min="16" max="16" width="9" bestFit="1" customWidth="1"/>
  </cols>
  <sheetData>
    <row r="2" spans="2:22">
      <c r="C2" t="s">
        <v>13</v>
      </c>
      <c r="J2" t="s">
        <v>51</v>
      </c>
    </row>
    <row r="3" spans="2:22">
      <c r="B3" s="15" t="s">
        <v>12</v>
      </c>
      <c r="C3" t="s">
        <v>18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6</v>
      </c>
      <c r="J3" s="90" t="s">
        <v>12</v>
      </c>
      <c r="K3" s="143" t="str">
        <f>LEFT(D3,19) &amp; " index"</f>
        <v>Sales revenue index</v>
      </c>
      <c r="L3" s="143" t="str">
        <f>LEFT(E3,19) &amp; " index"</f>
        <v>Operating Expenses index</v>
      </c>
      <c r="M3" s="143" t="str">
        <f>LEFT(F3,19) &amp; " index"</f>
        <v>Gross Profit index</v>
      </c>
      <c r="N3" s="143" t="str">
        <f>LEFT(G3,19) &amp; " index"</f>
        <v>Net Profit index</v>
      </c>
      <c r="O3" s="143" t="str">
        <f>LEFT(H3,19) &amp; " index"</f>
        <v>Total Assets index</v>
      </c>
      <c r="P3" s="10"/>
      <c r="Q3" s="10"/>
    </row>
    <row r="4" spans="2:22">
      <c r="C4" s="4">
        <v>2019</v>
      </c>
      <c r="D4" s="144">
        <v>8755</v>
      </c>
      <c r="E4" s="145">
        <v>7696</v>
      </c>
      <c r="F4" s="146">
        <v>656</v>
      </c>
      <c r="G4" s="93">
        <v>442</v>
      </c>
      <c r="H4" s="145">
        <v>7906</v>
      </c>
      <c r="I4" s="93"/>
      <c r="J4" s="4">
        <v>2019</v>
      </c>
      <c r="K4" s="147">
        <f>(D4/D4)*100</f>
        <v>100</v>
      </c>
      <c r="L4" s="145">
        <f t="shared" ref="L4:L9" si="0">(E4/$E$4)*100</f>
        <v>100</v>
      </c>
      <c r="M4" s="145">
        <f t="shared" ref="M4:M9" si="1">(F4/$F$4)*100</f>
        <v>100</v>
      </c>
      <c r="N4" s="145">
        <f t="shared" ref="N4:N9" si="2">(G4/$G$4)*100</f>
        <v>100</v>
      </c>
      <c r="O4" s="148">
        <f t="shared" ref="O4:O9" si="3">(H4/$H$4)*100</f>
        <v>100</v>
      </c>
      <c r="Q4" s="10"/>
    </row>
    <row r="5" spans="2:22">
      <c r="C5" s="5">
        <v>2020</v>
      </c>
      <c r="D5" s="144">
        <v>9899</v>
      </c>
      <c r="E5" s="145">
        <v>8655</v>
      </c>
      <c r="F5" s="93">
        <v>665</v>
      </c>
      <c r="G5" s="93">
        <v>421</v>
      </c>
      <c r="H5" s="144">
        <v>9606</v>
      </c>
      <c r="I5" s="146"/>
      <c r="J5" s="5">
        <v>2020</v>
      </c>
      <c r="K5" s="147">
        <f>(D5/$D$4)*100</f>
        <v>113.06681896059393</v>
      </c>
      <c r="L5" s="145">
        <f t="shared" si="0"/>
        <v>112.4610187110187</v>
      </c>
      <c r="M5" s="145">
        <f t="shared" si="1"/>
        <v>101.3719512195122</v>
      </c>
      <c r="N5" s="145">
        <f t="shared" si="2"/>
        <v>95.248868778280539</v>
      </c>
      <c r="O5" s="148">
        <f t="shared" si="3"/>
        <v>121.50265621047305</v>
      </c>
      <c r="Q5" s="12"/>
    </row>
    <row r="6" spans="2:22">
      <c r="C6" s="6">
        <v>2021</v>
      </c>
      <c r="D6" s="144">
        <v>7848</v>
      </c>
      <c r="E6" s="144">
        <v>8092</v>
      </c>
      <c r="F6" s="146">
        <v>-116</v>
      </c>
      <c r="G6" s="146">
        <v>-190</v>
      </c>
      <c r="H6" s="145">
        <v>10354</v>
      </c>
      <c r="I6" s="144"/>
      <c r="J6" s="6">
        <v>2021</v>
      </c>
      <c r="K6" s="147">
        <f>(D6/$D$4)*100</f>
        <v>89.64020559680182</v>
      </c>
      <c r="L6" s="145">
        <f t="shared" si="0"/>
        <v>105.14553014553015</v>
      </c>
      <c r="M6" s="145">
        <f t="shared" si="1"/>
        <v>-17.682926829268293</v>
      </c>
      <c r="N6" s="145">
        <f t="shared" si="2"/>
        <v>-42.986425339366519</v>
      </c>
      <c r="O6" s="148">
        <f t="shared" si="3"/>
        <v>130.96382494308122</v>
      </c>
      <c r="Q6" s="10"/>
    </row>
    <row r="7" spans="2:22">
      <c r="C7" s="7">
        <v>2022</v>
      </c>
      <c r="D7" s="144">
        <v>14029</v>
      </c>
      <c r="E7" s="144">
        <v>10011</v>
      </c>
      <c r="F7" s="144">
        <v>1232</v>
      </c>
      <c r="G7" s="93">
        <v>953</v>
      </c>
      <c r="H7" s="144">
        <v>14135</v>
      </c>
      <c r="I7" s="144"/>
      <c r="J7" s="7">
        <v>2022</v>
      </c>
      <c r="K7" s="147">
        <f>(D7/$D$4)*100</f>
        <v>160.23986293546542</v>
      </c>
      <c r="L7" s="145">
        <f t="shared" si="0"/>
        <v>130.08056133056135</v>
      </c>
      <c r="M7" s="145">
        <f t="shared" si="1"/>
        <v>187.80487804878047</v>
      </c>
      <c r="N7" s="145">
        <f t="shared" si="2"/>
        <v>215.61085972850677</v>
      </c>
      <c r="O7" s="148">
        <f t="shared" si="3"/>
        <v>178.78826207943334</v>
      </c>
      <c r="Q7" s="10"/>
    </row>
    <row r="8" spans="2:22">
      <c r="C8" s="8">
        <v>2023</v>
      </c>
      <c r="D8" s="144">
        <v>17406</v>
      </c>
      <c r="E8" s="145">
        <v>15190</v>
      </c>
      <c r="F8" s="144">
        <v>2047</v>
      </c>
      <c r="G8" s="144">
        <v>1612</v>
      </c>
      <c r="H8" s="144">
        <v>13802</v>
      </c>
      <c r="I8" s="145"/>
      <c r="J8" s="8">
        <v>2023</v>
      </c>
      <c r="K8" s="147">
        <f>(D8/$D$4)*100</f>
        <v>198.81210736721872</v>
      </c>
      <c r="L8" s="145">
        <f t="shared" si="0"/>
        <v>197.37525987525987</v>
      </c>
      <c r="M8" s="145">
        <f t="shared" si="1"/>
        <v>312.04268292682929</v>
      </c>
      <c r="N8" s="145">
        <f t="shared" si="2"/>
        <v>364.70588235294116</v>
      </c>
      <c r="O8" s="148">
        <f t="shared" si="3"/>
        <v>174.57627118644069</v>
      </c>
      <c r="Q8" s="10"/>
    </row>
    <row r="9" spans="2:22">
      <c r="C9" s="9">
        <v>2024</v>
      </c>
      <c r="D9" s="145">
        <v>20194</v>
      </c>
      <c r="E9" s="145">
        <v>17919</v>
      </c>
      <c r="F9" s="145">
        <v>2251</v>
      </c>
      <c r="G9" s="149">
        <v>1747</v>
      </c>
      <c r="H9" s="146">
        <v>17501</v>
      </c>
      <c r="I9" s="146"/>
      <c r="J9" s="9">
        <v>2024</v>
      </c>
      <c r="K9" s="147">
        <f>(D9/$D$4)*100</f>
        <v>230.65676756139348</v>
      </c>
      <c r="L9" s="145">
        <f t="shared" si="0"/>
        <v>232.83523908523907</v>
      </c>
      <c r="M9" s="145">
        <f t="shared" si="1"/>
        <v>343.14024390243907</v>
      </c>
      <c r="N9" s="145">
        <f t="shared" si="2"/>
        <v>395.24886877828055</v>
      </c>
      <c r="O9" s="148">
        <f t="shared" si="3"/>
        <v>221.36352137616998</v>
      </c>
    </row>
    <row r="10" spans="2:22">
      <c r="B10" s="16" t="s">
        <v>15</v>
      </c>
      <c r="D10" s="150" t="s">
        <v>1</v>
      </c>
      <c r="E10" s="150" t="s">
        <v>2</v>
      </c>
      <c r="F10" s="150" t="s">
        <v>3</v>
      </c>
      <c r="G10" s="150" t="s">
        <v>4</v>
      </c>
      <c r="H10" s="150" t="s">
        <v>6</v>
      </c>
      <c r="I10" s="93"/>
      <c r="J10" s="16" t="s">
        <v>15</v>
      </c>
      <c r="K10" s="151" t="str">
        <f>LEFT(D3,19) &amp; " index"</f>
        <v>Sales revenue index</v>
      </c>
      <c r="L10" s="151" t="str">
        <f>LEFT(E3,19) &amp; " index"</f>
        <v>Operating Expenses index</v>
      </c>
      <c r="M10" s="151" t="str">
        <f>LEFT(F3,19) &amp; " index"</f>
        <v>Gross Profit index</v>
      </c>
      <c r="N10" s="151" t="str">
        <f>LEFT(G3,19) &amp; " index"</f>
        <v>Net Profit index</v>
      </c>
      <c r="O10" s="151" t="str">
        <f>LEFT(H3,19) &amp; " index"</f>
        <v>Total Assets index</v>
      </c>
    </row>
    <row r="11" spans="2:22">
      <c r="C11" s="4">
        <v>2019</v>
      </c>
      <c r="D11" s="146">
        <v>111203</v>
      </c>
      <c r="E11" s="146">
        <v>1717</v>
      </c>
      <c r="F11" s="146">
        <v>5352</v>
      </c>
      <c r="G11" s="146">
        <v>4298</v>
      </c>
      <c r="H11" s="146">
        <v>71202</v>
      </c>
      <c r="I11" s="146"/>
      <c r="J11" s="4">
        <v>2019</v>
      </c>
      <c r="K11" s="147">
        <f t="shared" ref="K11:K16" si="4">(D11/$D$11)*100</f>
        <v>100</v>
      </c>
      <c r="L11" s="145">
        <f t="shared" ref="L11:L16" si="5">(E11/$E$11)*100</f>
        <v>100</v>
      </c>
      <c r="M11" s="145">
        <f t="shared" ref="M11:M16" si="6">(F11/$F$11)*100</f>
        <v>100</v>
      </c>
      <c r="N11" s="145">
        <f t="shared" ref="N11:N16" si="7">(G11/$G$11)*100</f>
        <v>100</v>
      </c>
      <c r="O11" s="148">
        <f t="shared" ref="O11:O16" si="8">(H11/$H$11)*100</f>
        <v>100</v>
      </c>
    </row>
    <row r="12" spans="2:22">
      <c r="C12" s="5">
        <v>2020</v>
      </c>
      <c r="D12" s="146">
        <v>86180</v>
      </c>
      <c r="E12" s="146">
        <v>6226</v>
      </c>
      <c r="F12" s="146">
        <v>2856</v>
      </c>
      <c r="G12" s="146">
        <v>2825</v>
      </c>
      <c r="H12" s="146">
        <v>84048</v>
      </c>
      <c r="I12" s="146"/>
      <c r="J12" s="5">
        <v>2020</v>
      </c>
      <c r="K12" s="147">
        <f t="shared" si="4"/>
        <v>77.49790922906756</v>
      </c>
      <c r="L12" s="145">
        <f t="shared" si="5"/>
        <v>362.60920209668024</v>
      </c>
      <c r="M12" s="145">
        <f t="shared" si="6"/>
        <v>53.36322869955157</v>
      </c>
      <c r="N12" s="145">
        <f t="shared" si="7"/>
        <v>65.728245695672399</v>
      </c>
      <c r="O12" s="148">
        <f t="shared" si="8"/>
        <v>118.04162804415606</v>
      </c>
    </row>
    <row r="13" spans="2:22">
      <c r="C13" s="6">
        <v>2021</v>
      </c>
      <c r="D13" s="146">
        <v>131341</v>
      </c>
      <c r="E13" s="146">
        <v>15940</v>
      </c>
      <c r="F13" s="146">
        <v>13683</v>
      </c>
      <c r="G13" s="146">
        <v>11188</v>
      </c>
      <c r="H13" s="146">
        <v>106754</v>
      </c>
      <c r="I13" s="146"/>
      <c r="J13" s="6">
        <v>2021</v>
      </c>
      <c r="K13" s="147">
        <f t="shared" si="4"/>
        <v>118.10922367202323</v>
      </c>
      <c r="L13" s="145">
        <f t="shared" si="5"/>
        <v>928.36342457775186</v>
      </c>
      <c r="M13" s="145">
        <f t="shared" si="6"/>
        <v>255.66143497757849</v>
      </c>
      <c r="N13" s="145">
        <f t="shared" si="7"/>
        <v>260.30711959050723</v>
      </c>
      <c r="O13" s="148">
        <f t="shared" si="8"/>
        <v>149.93118170837897</v>
      </c>
      <c r="P13" s="12"/>
      <c r="Q13" s="10"/>
      <c r="R13" s="12"/>
      <c r="S13" s="12"/>
    </row>
    <row r="14" spans="2:22">
      <c r="C14" s="7">
        <v>2022</v>
      </c>
      <c r="D14" s="146">
        <v>282415</v>
      </c>
      <c r="E14" s="146">
        <v>11020</v>
      </c>
      <c r="F14" s="146">
        <v>47831</v>
      </c>
      <c r="G14" s="146">
        <v>39819</v>
      </c>
      <c r="H14" s="146">
        <v>313177</v>
      </c>
      <c r="I14" s="146"/>
      <c r="J14" s="7">
        <v>2022</v>
      </c>
      <c r="K14" s="147">
        <f t="shared" si="4"/>
        <v>253.96347220848358</v>
      </c>
      <c r="L14" s="145">
        <f t="shared" si="5"/>
        <v>641.8171228887594</v>
      </c>
      <c r="M14" s="145">
        <f t="shared" si="6"/>
        <v>893.70328849028397</v>
      </c>
      <c r="N14" s="145">
        <f t="shared" si="7"/>
        <v>926.45416472778038</v>
      </c>
      <c r="O14" s="148">
        <f t="shared" si="8"/>
        <v>439.84298193870961</v>
      </c>
    </row>
    <row r="15" spans="2:22">
      <c r="C15" s="8">
        <v>2023</v>
      </c>
      <c r="D15" s="146">
        <v>372767</v>
      </c>
      <c r="E15" s="146">
        <v>25583</v>
      </c>
      <c r="F15" s="146">
        <v>30314</v>
      </c>
      <c r="G15" s="146">
        <v>20727</v>
      </c>
      <c r="H15" s="146">
        <v>264178</v>
      </c>
      <c r="I15" s="146"/>
      <c r="J15" s="8">
        <v>2023</v>
      </c>
      <c r="K15" s="147">
        <f t="shared" si="4"/>
        <v>335.21307878384573</v>
      </c>
      <c r="L15" s="145">
        <f t="shared" si="5"/>
        <v>1489.9825276645311</v>
      </c>
      <c r="M15" s="145">
        <f t="shared" si="6"/>
        <v>566.40508221225718</v>
      </c>
      <c r="N15" s="145">
        <f t="shared" si="7"/>
        <v>482.24755700325727</v>
      </c>
      <c r="O15" s="148">
        <f t="shared" si="8"/>
        <v>371.02609477261876</v>
      </c>
      <c r="P15" s="10"/>
      <c r="Q15" s="10"/>
      <c r="R15" s="10"/>
      <c r="S15" s="10"/>
      <c r="T15" s="10"/>
      <c r="V15" s="10"/>
    </row>
    <row r="16" spans="2:22">
      <c r="C16" s="9">
        <v>2024</v>
      </c>
      <c r="D16" s="146">
        <v>151842</v>
      </c>
      <c r="E16" s="146">
        <v>3121</v>
      </c>
      <c r="F16" s="146">
        <f>4528+1070</f>
        <v>5598</v>
      </c>
      <c r="G16" s="146">
        <f>2798+26</f>
        <v>2824</v>
      </c>
      <c r="H16" s="146">
        <v>254538</v>
      </c>
      <c r="I16" s="146"/>
      <c r="J16" s="9">
        <v>2024</v>
      </c>
      <c r="K16" s="147">
        <f t="shared" si="4"/>
        <v>136.54487738640145</v>
      </c>
      <c r="L16" s="145">
        <f t="shared" si="5"/>
        <v>181.77052999417589</v>
      </c>
      <c r="M16" s="145">
        <f t="shared" si="6"/>
        <v>104.59641255605381</v>
      </c>
      <c r="N16" s="145">
        <f t="shared" si="7"/>
        <v>65.704979060027924</v>
      </c>
      <c r="O16" s="148">
        <f t="shared" si="8"/>
        <v>357.48714923738095</v>
      </c>
      <c r="T16" s="11"/>
      <c r="V16" s="10"/>
    </row>
    <row r="17" spans="2:22">
      <c r="B17" s="17" t="s">
        <v>16</v>
      </c>
      <c r="D17" s="150" t="s">
        <v>1</v>
      </c>
      <c r="E17" s="150" t="s">
        <v>2</v>
      </c>
      <c r="F17" s="150" t="s">
        <v>3</v>
      </c>
      <c r="G17" s="150" t="s">
        <v>4</v>
      </c>
      <c r="H17" s="150" t="s">
        <v>6</v>
      </c>
      <c r="I17" s="146"/>
      <c r="J17" s="17" t="s">
        <v>16</v>
      </c>
      <c r="K17" s="151" t="str">
        <f>LEFT(D3,19) &amp; " index"</f>
        <v>Sales revenue index</v>
      </c>
      <c r="L17" s="151" t="str">
        <f>LEFT(E3,19) &amp; " index"</f>
        <v>Operating Expenses index</v>
      </c>
      <c r="M17" s="151" t="str">
        <f>LEFT(F3,19) &amp; " index"</f>
        <v>Gross Profit index</v>
      </c>
      <c r="N17" s="151" t="str">
        <f>LEFT(G3,19) &amp; " index"</f>
        <v>Net Profit index</v>
      </c>
      <c r="O17" s="151" t="str">
        <f>LEFT(H3,19) &amp; " index"</f>
        <v>Total Assets index</v>
      </c>
      <c r="P17" s="10"/>
      <c r="V17" s="12"/>
    </row>
    <row r="18" spans="2:22">
      <c r="C18" s="4">
        <v>2019</v>
      </c>
      <c r="D18" s="145">
        <f>521272/1000</f>
        <v>521.27200000000005</v>
      </c>
      <c r="E18" s="145">
        <v>187.95699999999999</v>
      </c>
      <c r="F18" s="145">
        <v>189.16200000000001</v>
      </c>
      <c r="G18" s="145">
        <v>175.315</v>
      </c>
      <c r="H18" s="145">
        <v>1404.1079999999999</v>
      </c>
      <c r="I18" s="146"/>
      <c r="J18" s="4">
        <v>2019</v>
      </c>
      <c r="K18" s="147">
        <f t="shared" ref="K18:K23" si="9">(D18/$D$18)*100</f>
        <v>100</v>
      </c>
      <c r="L18" s="145">
        <f t="shared" ref="L18:L23" si="10">(E18/$E$18)*100</f>
        <v>100</v>
      </c>
      <c r="M18" s="145">
        <f t="shared" ref="M18:M23" si="11">(F18/$F$18)*100</f>
        <v>100</v>
      </c>
      <c r="N18" s="145">
        <f t="shared" ref="N18:N23" si="12">(G18/$G$18)*100</f>
        <v>100</v>
      </c>
      <c r="O18" s="148">
        <f t="shared" ref="O18:O23" si="13">(H18/$H$18)*100</f>
        <v>100</v>
      </c>
      <c r="P18" s="10"/>
      <c r="T18" s="11"/>
      <c r="V18" s="10"/>
    </row>
    <row r="19" spans="2:22">
      <c r="C19" s="5">
        <v>2020</v>
      </c>
      <c r="D19" s="145">
        <f>2138875/1000</f>
        <v>2138.875</v>
      </c>
      <c r="E19" s="145">
        <v>498.87200000000001</v>
      </c>
      <c r="F19" s="145">
        <v>1164.9490000000001</v>
      </c>
      <c r="G19" s="145">
        <v>1150.1479999999999</v>
      </c>
      <c r="H19" s="145">
        <v>2890.299</v>
      </c>
      <c r="I19" s="146"/>
      <c r="J19" s="5">
        <v>2020</v>
      </c>
      <c r="K19" s="147">
        <f t="shared" si="9"/>
        <v>410.31841341948149</v>
      </c>
      <c r="L19" s="145">
        <f t="shared" si="10"/>
        <v>265.41815415227956</v>
      </c>
      <c r="M19" s="145">
        <f t="shared" si="11"/>
        <v>615.84726319239587</v>
      </c>
      <c r="N19" s="145">
        <f t="shared" si="12"/>
        <v>656.04654479080511</v>
      </c>
      <c r="O19" s="148">
        <f t="shared" si="13"/>
        <v>205.84591783538019</v>
      </c>
      <c r="P19" s="10"/>
      <c r="T19" s="12"/>
      <c r="V19" s="10"/>
    </row>
    <row r="20" spans="2:22">
      <c r="C20" s="6">
        <v>2021</v>
      </c>
      <c r="D20" s="145">
        <f>888172/1000</f>
        <v>888.17200000000003</v>
      </c>
      <c r="E20" s="145">
        <v>422.40499999999997</v>
      </c>
      <c r="F20" s="145">
        <v>219.108</v>
      </c>
      <c r="G20" s="144">
        <v>208.90799999999999</v>
      </c>
      <c r="H20" s="145">
        <v>2158.7350000000001</v>
      </c>
      <c r="I20" s="146"/>
      <c r="J20" s="6">
        <v>2021</v>
      </c>
      <c r="K20" s="147">
        <f t="shared" si="9"/>
        <v>170.3855185008978</v>
      </c>
      <c r="L20" s="145">
        <f t="shared" si="10"/>
        <v>224.73491277260226</v>
      </c>
      <c r="M20" s="145">
        <f t="shared" si="11"/>
        <v>115.83087512291053</v>
      </c>
      <c r="N20" s="145">
        <f t="shared" si="12"/>
        <v>119.16150928329007</v>
      </c>
      <c r="O20" s="148">
        <f t="shared" si="13"/>
        <v>153.74422765200399</v>
      </c>
      <c r="P20" s="10"/>
      <c r="T20" s="13"/>
      <c r="V20" s="10"/>
    </row>
    <row r="21" spans="2:22">
      <c r="C21" s="7">
        <v>2022</v>
      </c>
      <c r="D21" s="152">
        <f>952576/1000</f>
        <v>952.57600000000002</v>
      </c>
      <c r="E21" s="145">
        <v>351.351</v>
      </c>
      <c r="F21" s="145">
        <v>392.52499999999998</v>
      </c>
      <c r="G21" s="145">
        <v>346.49099999999999</v>
      </c>
      <c r="H21" s="145">
        <v>2276.3310000000001</v>
      </c>
      <c r="I21" s="146"/>
      <c r="J21" s="7">
        <v>2022</v>
      </c>
      <c r="K21" s="147">
        <f t="shared" si="9"/>
        <v>182.74068048926472</v>
      </c>
      <c r="L21" s="145">
        <f t="shared" si="10"/>
        <v>186.9315854158132</v>
      </c>
      <c r="M21" s="145">
        <f t="shared" si="11"/>
        <v>207.50732176652815</v>
      </c>
      <c r="N21" s="145">
        <f t="shared" si="12"/>
        <v>197.63910675070585</v>
      </c>
      <c r="O21" s="148">
        <f t="shared" si="13"/>
        <v>162.11936688630792</v>
      </c>
    </row>
    <row r="22" spans="2:22">
      <c r="C22" s="8">
        <v>2023</v>
      </c>
      <c r="D22" s="152">
        <f>1230199/1000</f>
        <v>1230.1990000000001</v>
      </c>
      <c r="E22" s="145">
        <v>434.63900000000001</v>
      </c>
      <c r="F22" s="145">
        <v>538.49199999999996</v>
      </c>
      <c r="G22" s="145">
        <v>481.10500000000002</v>
      </c>
      <c r="H22" s="145">
        <v>2613.4380000000001</v>
      </c>
      <c r="I22" s="146"/>
      <c r="J22" s="8">
        <v>2023</v>
      </c>
      <c r="K22" s="147">
        <f t="shared" si="9"/>
        <v>235.99943983179608</v>
      </c>
      <c r="L22" s="145">
        <f t="shared" si="10"/>
        <v>231.24384832701099</v>
      </c>
      <c r="M22" s="145">
        <f t="shared" si="11"/>
        <v>284.67239720451249</v>
      </c>
      <c r="N22" s="145">
        <f t="shared" si="12"/>
        <v>274.42318113110684</v>
      </c>
      <c r="O22" s="148">
        <f t="shared" si="13"/>
        <v>186.12799015460351</v>
      </c>
    </row>
    <row r="23" spans="2:22" ht="15" thickBot="1">
      <c r="C23" s="9">
        <v>2024</v>
      </c>
      <c r="D23" s="152">
        <f>985030/1000</f>
        <v>985.03</v>
      </c>
      <c r="E23" s="145">
        <v>401.21699999999998</v>
      </c>
      <c r="F23" s="145">
        <v>430.084</v>
      </c>
      <c r="G23" s="145">
        <v>469.87400000000002</v>
      </c>
      <c r="H23" s="145">
        <v>3042.424</v>
      </c>
      <c r="I23" s="146"/>
      <c r="J23" s="9">
        <v>2024</v>
      </c>
      <c r="K23" s="153">
        <f t="shared" si="9"/>
        <v>188.9666047668012</v>
      </c>
      <c r="L23" s="154">
        <f t="shared" si="10"/>
        <v>213.46212165548502</v>
      </c>
      <c r="M23" s="154">
        <f t="shared" si="11"/>
        <v>227.36278956661488</v>
      </c>
      <c r="N23" s="154">
        <f t="shared" si="12"/>
        <v>268.01699797507348</v>
      </c>
      <c r="O23" s="155">
        <f t="shared" si="13"/>
        <v>216.68019838929769</v>
      </c>
    </row>
    <row r="27" spans="2:22">
      <c r="D27" t="s">
        <v>50</v>
      </c>
      <c r="E27" s="156" t="s">
        <v>12</v>
      </c>
      <c r="F27" s="16" t="s">
        <v>15</v>
      </c>
      <c r="G27" s="17" t="s">
        <v>16</v>
      </c>
      <c r="L27" s="157" t="s">
        <v>12</v>
      </c>
      <c r="M27" s="158" t="s">
        <v>15</v>
      </c>
      <c r="N27" s="159" t="s">
        <v>16</v>
      </c>
    </row>
    <row r="28" spans="2:22">
      <c r="D28" s="4">
        <v>2019</v>
      </c>
      <c r="E28" s="152">
        <v>100</v>
      </c>
      <c r="F28" s="152">
        <v>100</v>
      </c>
      <c r="G28" s="152">
        <v>100</v>
      </c>
      <c r="K28" s="4">
        <v>2019</v>
      </c>
      <c r="L28" s="152">
        <v>100</v>
      </c>
      <c r="M28" s="152">
        <v>100</v>
      </c>
      <c r="N28" s="152">
        <v>100</v>
      </c>
    </row>
    <row r="29" spans="2:22">
      <c r="D29" s="5">
        <v>2020</v>
      </c>
      <c r="E29" s="152">
        <v>113.06681896059393</v>
      </c>
      <c r="F29" s="152">
        <v>77.49790922906756</v>
      </c>
      <c r="G29" s="152">
        <v>410.31841341948149</v>
      </c>
      <c r="K29" s="5">
        <v>2020</v>
      </c>
      <c r="L29" s="152">
        <v>112.4610187110187</v>
      </c>
      <c r="M29" s="152">
        <v>362.60920209668024</v>
      </c>
      <c r="N29" s="152">
        <v>265.41815415227956</v>
      </c>
    </row>
    <row r="30" spans="2:22">
      <c r="D30" s="6">
        <v>2021</v>
      </c>
      <c r="E30" s="152">
        <v>89.64020559680182</v>
      </c>
      <c r="F30" s="152">
        <v>118.10922367202323</v>
      </c>
      <c r="G30" s="152">
        <v>170.3855185008978</v>
      </c>
      <c r="K30" s="6">
        <v>2021</v>
      </c>
      <c r="L30" s="152">
        <v>105.14553014553015</v>
      </c>
      <c r="M30" s="152">
        <v>928.36342457775186</v>
      </c>
      <c r="N30" s="152">
        <v>224.73491277260226</v>
      </c>
    </row>
    <row r="31" spans="2:22">
      <c r="D31" s="7">
        <v>2022</v>
      </c>
      <c r="E31" s="152">
        <v>160.23986293546542</v>
      </c>
      <c r="F31" s="152">
        <v>253.96347220848358</v>
      </c>
      <c r="G31" s="152">
        <v>182.74068048926472</v>
      </c>
      <c r="K31" s="7">
        <v>2022</v>
      </c>
      <c r="L31" s="152">
        <v>130.08056133056135</v>
      </c>
      <c r="M31" s="152">
        <v>641.8171228887594</v>
      </c>
      <c r="N31" s="152">
        <v>186.9315854158132</v>
      </c>
    </row>
    <row r="32" spans="2:22">
      <c r="D32" s="8">
        <v>2023</v>
      </c>
      <c r="E32" s="152">
        <v>198.81210736721872</v>
      </c>
      <c r="F32" s="152">
        <v>335.21307878384573</v>
      </c>
      <c r="G32" s="152">
        <v>235.99943983179608</v>
      </c>
      <c r="K32" s="8">
        <v>2023</v>
      </c>
      <c r="L32" s="152">
        <v>197.37525987525987</v>
      </c>
      <c r="M32" s="152">
        <v>1489.9825276645311</v>
      </c>
      <c r="N32" s="152">
        <v>231.24384832701099</v>
      </c>
    </row>
    <row r="33" spans="4:14">
      <c r="D33" s="9">
        <v>2024</v>
      </c>
      <c r="E33" s="152">
        <v>230.65676756139348</v>
      </c>
      <c r="F33" s="152">
        <v>136.54487738640145</v>
      </c>
      <c r="G33" s="152">
        <v>188.9666047668012</v>
      </c>
      <c r="K33" s="9">
        <v>2024</v>
      </c>
      <c r="L33" s="152">
        <v>232.83523908523907</v>
      </c>
      <c r="M33" s="152">
        <v>181.77052999417589</v>
      </c>
      <c r="N33" s="152">
        <v>213.46212165548502</v>
      </c>
    </row>
    <row r="43" spans="4:14">
      <c r="L43" s="152"/>
      <c r="M43" s="152"/>
      <c r="N43" s="152"/>
    </row>
    <row r="44" spans="4:14">
      <c r="L44" s="152"/>
      <c r="M44" s="152"/>
      <c r="N44" s="152"/>
    </row>
    <row r="45" spans="4:14">
      <c r="L45" s="152"/>
      <c r="M45" s="152"/>
      <c r="N45" s="152"/>
    </row>
    <row r="49" spans="5:14">
      <c r="F49" s="157" t="s">
        <v>12</v>
      </c>
      <c r="G49" s="158" t="s">
        <v>15</v>
      </c>
      <c r="H49" s="159" t="s">
        <v>16</v>
      </c>
    </row>
    <row r="50" spans="5:14">
      <c r="E50" s="4">
        <v>2019</v>
      </c>
      <c r="F50" s="152">
        <v>100</v>
      </c>
      <c r="G50" s="152">
        <v>100</v>
      </c>
      <c r="H50" s="152">
        <v>100</v>
      </c>
      <c r="L50" s="157" t="s">
        <v>12</v>
      </c>
      <c r="M50" s="158" t="s">
        <v>15</v>
      </c>
      <c r="N50" s="159" t="s">
        <v>16</v>
      </c>
    </row>
    <row r="51" spans="5:14">
      <c r="E51" s="5">
        <v>2020</v>
      </c>
      <c r="F51" s="152">
        <v>101.3719512195122</v>
      </c>
      <c r="G51" s="152">
        <v>53.36322869955157</v>
      </c>
      <c r="H51" s="152">
        <v>615.84726319239587</v>
      </c>
      <c r="K51" s="4">
        <v>2019</v>
      </c>
      <c r="L51" s="152">
        <v>100</v>
      </c>
      <c r="M51" s="152">
        <v>100</v>
      </c>
      <c r="N51" s="152">
        <v>100</v>
      </c>
    </row>
    <row r="52" spans="5:14">
      <c r="E52" s="6">
        <v>2021</v>
      </c>
      <c r="F52" s="152">
        <v>-17.682926829268293</v>
      </c>
      <c r="G52" s="152">
        <v>255.66143497757849</v>
      </c>
      <c r="H52" s="152">
        <v>115.83087512291053</v>
      </c>
      <c r="K52" s="5">
        <v>2020</v>
      </c>
      <c r="L52" s="152">
        <v>95.248868778280539</v>
      </c>
      <c r="M52" s="152">
        <v>65.728245695672399</v>
      </c>
      <c r="N52" s="152">
        <v>656.04654479080511</v>
      </c>
    </row>
    <row r="53" spans="5:14">
      <c r="E53" s="7">
        <v>2022</v>
      </c>
      <c r="F53" s="152">
        <v>187.80487804878047</v>
      </c>
      <c r="G53" s="152">
        <v>893.70328849028397</v>
      </c>
      <c r="H53" s="152">
        <v>207.50732176652815</v>
      </c>
      <c r="K53" s="6">
        <v>2021</v>
      </c>
      <c r="L53" s="152">
        <v>-42.986425339366519</v>
      </c>
      <c r="M53" s="152">
        <v>260.30711959050723</v>
      </c>
      <c r="N53" s="152">
        <v>119.16150928329007</v>
      </c>
    </row>
    <row r="54" spans="5:14">
      <c r="E54" s="8">
        <v>2023</v>
      </c>
      <c r="F54" s="152">
        <v>312.04268292682929</v>
      </c>
      <c r="G54" s="152">
        <v>566.40508221225718</v>
      </c>
      <c r="H54" s="152">
        <v>284.67239720451249</v>
      </c>
      <c r="J54" s="10"/>
      <c r="K54" s="7">
        <v>2022</v>
      </c>
      <c r="L54" s="152">
        <v>215.61085972850677</v>
      </c>
      <c r="M54" s="152">
        <v>926.45416472778038</v>
      </c>
      <c r="N54" s="152">
        <v>197.63910675070585</v>
      </c>
    </row>
    <row r="55" spans="5:14">
      <c r="E55" s="9">
        <v>2024</v>
      </c>
      <c r="F55" s="152">
        <v>343.14024390243907</v>
      </c>
      <c r="G55" s="152">
        <v>104.59641255605381</v>
      </c>
      <c r="H55" s="152">
        <v>227.36278956661488</v>
      </c>
      <c r="K55" s="8">
        <v>2023</v>
      </c>
      <c r="L55" s="152">
        <v>364.70588235294116</v>
      </c>
      <c r="M55" s="152">
        <v>482.24755700325727</v>
      </c>
      <c r="N55" s="152">
        <v>274.42318113110684</v>
      </c>
    </row>
    <row r="56" spans="5:14">
      <c r="K56" s="9">
        <v>2024</v>
      </c>
      <c r="L56" s="152">
        <v>395.24886877828055</v>
      </c>
      <c r="M56" s="152">
        <v>65.704979060027924</v>
      </c>
      <c r="N56" s="152">
        <v>268.01699797507348</v>
      </c>
    </row>
    <row r="63" spans="5:14">
      <c r="L63" s="152"/>
      <c r="M63" s="152"/>
      <c r="N63" s="152"/>
    </row>
    <row r="64" spans="5:14">
      <c r="L64" s="152"/>
      <c r="M64" s="152"/>
      <c r="N64" s="152"/>
    </row>
    <row r="65" spans="4:14">
      <c r="L65" s="152"/>
      <c r="M65" s="152"/>
      <c r="N65" s="152"/>
    </row>
    <row r="71" spans="4:14">
      <c r="E71" s="157" t="s">
        <v>12</v>
      </c>
      <c r="F71" s="158" t="s">
        <v>15</v>
      </c>
      <c r="G71" s="159" t="s">
        <v>16</v>
      </c>
    </row>
    <row r="72" spans="4:14">
      <c r="D72" s="4">
        <v>2019</v>
      </c>
      <c r="E72" s="152">
        <v>100</v>
      </c>
      <c r="F72" s="152">
        <v>100</v>
      </c>
      <c r="G72" s="152">
        <v>100</v>
      </c>
    </row>
    <row r="73" spans="4:14">
      <c r="D73" s="5">
        <v>2020</v>
      </c>
      <c r="E73" s="152">
        <v>121.50265621047305</v>
      </c>
      <c r="F73" s="152">
        <v>118.04162804415606</v>
      </c>
      <c r="G73" s="152">
        <v>205.84591783538019</v>
      </c>
      <c r="L73" s="152"/>
      <c r="M73" s="152"/>
      <c r="N73" s="152"/>
    </row>
    <row r="74" spans="4:14">
      <c r="D74" s="6">
        <v>2021</v>
      </c>
      <c r="E74" s="152">
        <v>130.96382494308122</v>
      </c>
      <c r="F74" s="152">
        <v>149.93118170837897</v>
      </c>
      <c r="G74" s="152">
        <v>153.74422765200399</v>
      </c>
    </row>
    <row r="75" spans="4:14">
      <c r="D75" s="7">
        <v>2022</v>
      </c>
      <c r="E75" s="152">
        <v>178.78826207943334</v>
      </c>
      <c r="F75" s="152">
        <v>439.84298193870961</v>
      </c>
      <c r="G75" s="152">
        <v>162.11936688630792</v>
      </c>
    </row>
    <row r="76" spans="4:14">
      <c r="D76" s="8">
        <v>2023</v>
      </c>
      <c r="E76" s="152">
        <v>174.57627118644069</v>
      </c>
      <c r="F76" s="152">
        <v>371.02609477261876</v>
      </c>
      <c r="G76" s="152">
        <v>186.12799015460351</v>
      </c>
    </row>
    <row r="77" spans="4:14">
      <c r="D77" s="9">
        <v>2024</v>
      </c>
      <c r="E77" s="152">
        <v>221.36352137616998</v>
      </c>
      <c r="F77" s="152">
        <v>357.48714923738095</v>
      </c>
      <c r="G77" s="152">
        <v>216.68019838929769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FAA5-A257-4E0E-8A27-FBEDE230A0B5}">
  <dimension ref="B3:Q41"/>
  <sheetViews>
    <sheetView zoomScale="85" zoomScaleNormal="85" workbookViewId="0">
      <selection activeCell="B4" sqref="B4:G24"/>
    </sheetView>
  </sheetViews>
  <sheetFormatPr defaultRowHeight="14.4"/>
  <cols>
    <col min="2" max="2" width="10" bestFit="1" customWidth="1"/>
    <col min="4" max="4" width="20.88671875" customWidth="1"/>
    <col min="5" max="5" width="18.5546875" bestFit="1" customWidth="1"/>
    <col min="6" max="6" width="11.33203125" bestFit="1" customWidth="1"/>
    <col min="7" max="7" width="11.6640625" customWidth="1"/>
    <col min="8" max="8" width="11.5546875" bestFit="1" customWidth="1"/>
    <col min="10" max="10" width="18.5546875" bestFit="1" customWidth="1"/>
    <col min="12" max="12" width="9.5546875" customWidth="1"/>
    <col min="13" max="13" width="10" bestFit="1" customWidth="1"/>
    <col min="15" max="15" width="13.5546875" bestFit="1" customWidth="1"/>
    <col min="16" max="16" width="15.33203125" bestFit="1" customWidth="1"/>
    <col min="17" max="17" width="19.5546875" bestFit="1" customWidth="1"/>
  </cols>
  <sheetData>
    <row r="3" spans="2:17">
      <c r="C3" t="s">
        <v>13</v>
      </c>
      <c r="J3" s="3" t="s">
        <v>1</v>
      </c>
      <c r="K3" s="15" t="s">
        <v>12</v>
      </c>
      <c r="L3" s="16" t="s">
        <v>15</v>
      </c>
      <c r="M3" s="17" t="s">
        <v>16</v>
      </c>
      <c r="N3" t="s">
        <v>52</v>
      </c>
      <c r="O3" t="str">
        <f>K3&amp;" vs " &amp; $N$3</f>
        <v>LPP vs Median</v>
      </c>
      <c r="P3" t="str">
        <f>L3&amp;" vs " &amp; $N$3</f>
        <v>Orlen vs Median</v>
      </c>
      <c r="Q3" t="str">
        <f>M3&amp;" vs " &amp; $N$3</f>
        <v>CD Project vs Median</v>
      </c>
    </row>
    <row r="4" spans="2:17">
      <c r="B4" s="15" t="s">
        <v>12</v>
      </c>
      <c r="C4" t="s">
        <v>18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6</v>
      </c>
      <c r="J4" s="4">
        <v>2019</v>
      </c>
      <c r="K4" s="144">
        <v>8755</v>
      </c>
      <c r="L4" s="146">
        <v>111203</v>
      </c>
      <c r="M4" s="145">
        <f>521272/1000</f>
        <v>521.27200000000005</v>
      </c>
      <c r="N4" s="10">
        <f t="shared" ref="N4:N9" si="0">MEDIAN(K4:M4)</f>
        <v>8755</v>
      </c>
      <c r="O4" s="160">
        <f t="shared" ref="O4:O9" si="1">(K4/N4)-1</f>
        <v>0</v>
      </c>
      <c r="P4" s="160">
        <f t="shared" ref="P4:P9" si="2">(L4/N4)-1</f>
        <v>11.701656196459167</v>
      </c>
      <c r="Q4" s="160">
        <f t="shared" ref="Q4:Q9" si="3">(M4/N4)-1</f>
        <v>-0.9404600799543118</v>
      </c>
    </row>
    <row r="5" spans="2:17">
      <c r="C5" s="4">
        <v>2019</v>
      </c>
      <c r="D5" s="144">
        <v>8755</v>
      </c>
      <c r="E5" s="145">
        <v>7696</v>
      </c>
      <c r="F5" s="146">
        <v>656</v>
      </c>
      <c r="G5" s="93">
        <v>442</v>
      </c>
      <c r="H5" s="145">
        <v>7906</v>
      </c>
      <c r="J5" s="5">
        <v>2020</v>
      </c>
      <c r="K5" s="144">
        <v>9899</v>
      </c>
      <c r="L5" s="146">
        <v>86180</v>
      </c>
      <c r="M5" s="145">
        <f>2138875/1000</f>
        <v>2138.875</v>
      </c>
      <c r="N5" s="10">
        <f t="shared" si="0"/>
        <v>9899</v>
      </c>
      <c r="O5" s="160">
        <f t="shared" si="1"/>
        <v>0</v>
      </c>
      <c r="P5" s="160">
        <f t="shared" si="2"/>
        <v>7.7059298919082728</v>
      </c>
      <c r="Q5" s="160">
        <f t="shared" si="3"/>
        <v>-0.78393019496918881</v>
      </c>
    </row>
    <row r="6" spans="2:17">
      <c r="C6" s="5">
        <v>2020</v>
      </c>
      <c r="D6" s="144">
        <v>9899</v>
      </c>
      <c r="E6" s="145">
        <v>8655</v>
      </c>
      <c r="F6" s="93">
        <v>665</v>
      </c>
      <c r="G6" s="93">
        <v>421</v>
      </c>
      <c r="H6" s="144">
        <v>9606</v>
      </c>
      <c r="J6" s="6">
        <v>2021</v>
      </c>
      <c r="K6" s="144">
        <v>7848</v>
      </c>
      <c r="L6" s="146">
        <v>131341</v>
      </c>
      <c r="M6" s="145">
        <f>888172/1000</f>
        <v>888.17200000000003</v>
      </c>
      <c r="N6" s="10">
        <f t="shared" si="0"/>
        <v>7848</v>
      </c>
      <c r="O6" s="160">
        <f t="shared" si="1"/>
        <v>0</v>
      </c>
      <c r="P6" s="160">
        <f t="shared" si="2"/>
        <v>15.735601427115188</v>
      </c>
      <c r="Q6" s="160">
        <f t="shared" si="3"/>
        <v>-0.88682823649337417</v>
      </c>
    </row>
    <row r="7" spans="2:17">
      <c r="C7" s="6">
        <v>2021</v>
      </c>
      <c r="D7" s="144">
        <v>7848</v>
      </c>
      <c r="E7" s="144">
        <v>8092</v>
      </c>
      <c r="F7" s="146">
        <v>-116</v>
      </c>
      <c r="G7" s="146">
        <v>-190</v>
      </c>
      <c r="H7" s="145">
        <v>10354</v>
      </c>
      <c r="J7" s="7">
        <v>2022</v>
      </c>
      <c r="K7" s="144">
        <v>14029</v>
      </c>
      <c r="L7" s="146">
        <v>282415</v>
      </c>
      <c r="M7" s="152">
        <f>952576/1000</f>
        <v>952.57600000000002</v>
      </c>
      <c r="N7" s="10">
        <f t="shared" si="0"/>
        <v>14029</v>
      </c>
      <c r="O7" s="160">
        <f t="shared" si="1"/>
        <v>0</v>
      </c>
      <c r="P7" s="160">
        <f t="shared" si="2"/>
        <v>19.130800484710242</v>
      </c>
      <c r="Q7" s="160">
        <f t="shared" si="3"/>
        <v>-0.93209950816166509</v>
      </c>
    </row>
    <row r="8" spans="2:17">
      <c r="C8" s="7">
        <v>2022</v>
      </c>
      <c r="D8" s="144">
        <v>14029</v>
      </c>
      <c r="E8" s="144">
        <v>10011</v>
      </c>
      <c r="F8" s="144">
        <v>1232</v>
      </c>
      <c r="G8" s="93">
        <v>953</v>
      </c>
      <c r="H8" s="144">
        <v>14135</v>
      </c>
      <c r="J8" s="8">
        <v>2023</v>
      </c>
      <c r="K8" s="144">
        <v>17406</v>
      </c>
      <c r="L8" s="146">
        <v>372767</v>
      </c>
      <c r="M8" s="152">
        <f>1230199/1000</f>
        <v>1230.1990000000001</v>
      </c>
      <c r="N8" s="10">
        <f t="shared" si="0"/>
        <v>17406</v>
      </c>
      <c r="O8" s="160">
        <f t="shared" si="1"/>
        <v>0</v>
      </c>
      <c r="P8" s="160">
        <f t="shared" si="2"/>
        <v>20.416005974951165</v>
      </c>
      <c r="Q8" s="160">
        <f t="shared" si="3"/>
        <v>-0.92932327932896697</v>
      </c>
    </row>
    <row r="9" spans="2:17">
      <c r="C9" s="8">
        <v>2023</v>
      </c>
      <c r="D9" s="144">
        <v>17406</v>
      </c>
      <c r="E9" s="145">
        <v>15190</v>
      </c>
      <c r="F9" s="144">
        <v>2047</v>
      </c>
      <c r="G9" s="144">
        <v>1612</v>
      </c>
      <c r="H9" s="144">
        <v>13802</v>
      </c>
      <c r="J9" s="9">
        <v>2024</v>
      </c>
      <c r="K9" s="145">
        <v>20194</v>
      </c>
      <c r="L9" s="146">
        <v>151842</v>
      </c>
      <c r="M9" s="152">
        <f>985030/1000</f>
        <v>985.03</v>
      </c>
      <c r="N9" s="10">
        <f t="shared" si="0"/>
        <v>20194</v>
      </c>
      <c r="O9" s="160">
        <f t="shared" si="1"/>
        <v>0</v>
      </c>
      <c r="P9" s="160">
        <f t="shared" si="2"/>
        <v>6.5191641081509362</v>
      </c>
      <c r="Q9" s="160">
        <f t="shared" si="3"/>
        <v>-0.95122164999504799</v>
      </c>
    </row>
    <row r="10" spans="2:17">
      <c r="C10" s="9">
        <v>2024</v>
      </c>
      <c r="D10" s="145">
        <v>20194</v>
      </c>
      <c r="E10" s="145">
        <v>17919</v>
      </c>
      <c r="F10" s="145">
        <v>2251</v>
      </c>
      <c r="G10" s="149">
        <v>1747</v>
      </c>
      <c r="H10" s="146">
        <v>17501</v>
      </c>
      <c r="O10" s="160"/>
      <c r="P10" s="160"/>
      <c r="Q10" s="160"/>
    </row>
    <row r="11" spans="2:17">
      <c r="B11" s="16" t="s">
        <v>15</v>
      </c>
      <c r="D11" s="150" t="s">
        <v>1</v>
      </c>
      <c r="E11" s="150" t="s">
        <v>2</v>
      </c>
      <c r="F11" s="150" t="s">
        <v>3</v>
      </c>
      <c r="G11" s="150" t="s">
        <v>4</v>
      </c>
      <c r="H11" s="150" t="s">
        <v>6</v>
      </c>
      <c r="J11" s="3" t="s">
        <v>2</v>
      </c>
      <c r="K11" s="15" t="s">
        <v>12</v>
      </c>
      <c r="L11" s="16" t="s">
        <v>15</v>
      </c>
      <c r="M11" s="17" t="s">
        <v>16</v>
      </c>
      <c r="N11" t="s">
        <v>52</v>
      </c>
      <c r="O11" s="160" t="str">
        <f>K11&amp;" vs " &amp; $N$3</f>
        <v>LPP vs Median</v>
      </c>
      <c r="P11" s="160" t="str">
        <f>L11&amp;" vs " &amp; $N$3</f>
        <v>Orlen vs Median</v>
      </c>
      <c r="Q11" s="160" t="str">
        <f>M11&amp;" vs " &amp; $N$3</f>
        <v>CD Project vs Median</v>
      </c>
    </row>
    <row r="12" spans="2:17">
      <c r="C12" s="4">
        <v>2019</v>
      </c>
      <c r="D12" s="146">
        <v>111203</v>
      </c>
      <c r="E12" s="146">
        <v>1717</v>
      </c>
      <c r="F12" s="146">
        <v>5352</v>
      </c>
      <c r="G12" s="146">
        <v>4298</v>
      </c>
      <c r="H12" s="146">
        <v>71202</v>
      </c>
      <c r="J12" s="4">
        <v>2019</v>
      </c>
      <c r="K12" s="145">
        <v>7696</v>
      </c>
      <c r="L12" s="146">
        <v>1717</v>
      </c>
      <c r="M12" s="145">
        <v>187.95699999999999</v>
      </c>
      <c r="N12" s="10">
        <f t="shared" ref="N12:N17" si="4">MEDIAN(K12:M12)</f>
        <v>1717</v>
      </c>
      <c r="O12" s="160">
        <f t="shared" ref="O12:O17" si="5">(K12/N12)-1</f>
        <v>3.4822364589400117</v>
      </c>
      <c r="P12" s="160">
        <f t="shared" ref="P12:P17" si="6">(L12/N12)-1</f>
        <v>0</v>
      </c>
      <c r="Q12" s="160">
        <f t="shared" ref="Q12:Q17" si="7">(M12/N12)-1</f>
        <v>-0.89053174140943503</v>
      </c>
    </row>
    <row r="13" spans="2:17">
      <c r="C13" s="5">
        <v>2020</v>
      </c>
      <c r="D13" s="146">
        <v>86180</v>
      </c>
      <c r="E13" s="146">
        <v>6226</v>
      </c>
      <c r="F13" s="146">
        <v>2856</v>
      </c>
      <c r="G13" s="146">
        <v>2825</v>
      </c>
      <c r="H13" s="146">
        <v>84048</v>
      </c>
      <c r="J13" s="5">
        <v>2020</v>
      </c>
      <c r="K13" s="145">
        <v>8655</v>
      </c>
      <c r="L13" s="146">
        <v>6226</v>
      </c>
      <c r="M13" s="145">
        <v>498.87200000000001</v>
      </c>
      <c r="N13" s="10">
        <f t="shared" si="4"/>
        <v>6226</v>
      </c>
      <c r="O13" s="160">
        <f t="shared" si="5"/>
        <v>0.39013813042081602</v>
      </c>
      <c r="P13" s="160">
        <f t="shared" si="6"/>
        <v>0</v>
      </c>
      <c r="Q13" s="160">
        <f t="shared" si="7"/>
        <v>-0.91987279151943468</v>
      </c>
    </row>
    <row r="14" spans="2:17">
      <c r="C14" s="6">
        <v>2021</v>
      </c>
      <c r="D14" s="146">
        <v>131341</v>
      </c>
      <c r="E14" s="146">
        <v>15940</v>
      </c>
      <c r="F14" s="146">
        <v>13683</v>
      </c>
      <c r="G14" s="146">
        <v>11188</v>
      </c>
      <c r="H14" s="146">
        <v>106754</v>
      </c>
      <c r="J14" s="6">
        <v>2021</v>
      </c>
      <c r="K14" s="144">
        <v>8092</v>
      </c>
      <c r="L14" s="146">
        <v>15940</v>
      </c>
      <c r="M14" s="145">
        <v>422.40499999999997</v>
      </c>
      <c r="N14" s="10">
        <f t="shared" si="4"/>
        <v>8092</v>
      </c>
      <c r="O14" s="160">
        <f t="shared" si="5"/>
        <v>0</v>
      </c>
      <c r="P14" s="160">
        <f t="shared" si="6"/>
        <v>0.96984676223430544</v>
      </c>
      <c r="Q14" s="160">
        <f t="shared" si="7"/>
        <v>-0.94779967869500736</v>
      </c>
    </row>
    <row r="15" spans="2:17">
      <c r="C15" s="7">
        <v>2022</v>
      </c>
      <c r="D15" s="146">
        <v>282415</v>
      </c>
      <c r="E15" s="146">
        <v>11020</v>
      </c>
      <c r="F15" s="146">
        <v>47831</v>
      </c>
      <c r="G15" s="146">
        <v>39819</v>
      </c>
      <c r="H15" s="146">
        <v>313177</v>
      </c>
      <c r="J15" s="7">
        <v>2022</v>
      </c>
      <c r="K15" s="144">
        <v>10011</v>
      </c>
      <c r="L15" s="146">
        <v>11020</v>
      </c>
      <c r="M15" s="145">
        <v>351.351</v>
      </c>
      <c r="N15" s="10">
        <f t="shared" si="4"/>
        <v>10011</v>
      </c>
      <c r="O15" s="160">
        <f t="shared" si="5"/>
        <v>0</v>
      </c>
      <c r="P15" s="160">
        <f t="shared" si="6"/>
        <v>0.10078913195484973</v>
      </c>
      <c r="Q15" s="160">
        <f t="shared" si="7"/>
        <v>-0.96490350614324238</v>
      </c>
    </row>
    <row r="16" spans="2:17">
      <c r="C16" s="8">
        <v>2023</v>
      </c>
      <c r="D16" s="146">
        <v>372767</v>
      </c>
      <c r="E16" s="146">
        <v>25583</v>
      </c>
      <c r="F16" s="146">
        <v>30314</v>
      </c>
      <c r="G16" s="146">
        <v>20727</v>
      </c>
      <c r="H16" s="146">
        <v>264178</v>
      </c>
      <c r="J16" s="8">
        <v>2023</v>
      </c>
      <c r="K16" s="145">
        <v>15190</v>
      </c>
      <c r="L16" s="146">
        <v>25583</v>
      </c>
      <c r="M16" s="145">
        <v>434.63900000000001</v>
      </c>
      <c r="N16" s="10">
        <f t="shared" si="4"/>
        <v>15190</v>
      </c>
      <c r="O16" s="160">
        <f t="shared" si="5"/>
        <v>0</v>
      </c>
      <c r="P16" s="160">
        <f t="shared" si="6"/>
        <v>0.68420013166556948</v>
      </c>
      <c r="Q16" s="160">
        <f t="shared" si="7"/>
        <v>-0.97138650427913098</v>
      </c>
    </row>
    <row r="17" spans="2:17">
      <c r="C17" s="9">
        <v>2024</v>
      </c>
      <c r="D17" s="146">
        <v>151842</v>
      </c>
      <c r="E17" s="146">
        <v>3121</v>
      </c>
      <c r="F17" s="146">
        <f>4528+1070</f>
        <v>5598</v>
      </c>
      <c r="G17" s="146">
        <f>2798+26</f>
        <v>2824</v>
      </c>
      <c r="H17" s="146">
        <v>254538</v>
      </c>
      <c r="J17" s="9">
        <v>2024</v>
      </c>
      <c r="K17" s="145">
        <v>17919</v>
      </c>
      <c r="L17" s="146">
        <v>3121</v>
      </c>
      <c r="M17" s="145">
        <v>401.21699999999998</v>
      </c>
      <c r="N17" s="10">
        <f t="shared" si="4"/>
        <v>3121</v>
      </c>
      <c r="O17" s="160">
        <f t="shared" si="5"/>
        <v>4.7414290291573211</v>
      </c>
      <c r="P17" s="160">
        <f t="shared" si="6"/>
        <v>0</v>
      </c>
      <c r="Q17" s="160">
        <f t="shared" si="7"/>
        <v>-0.87144601089394425</v>
      </c>
    </row>
    <row r="18" spans="2:17">
      <c r="B18" s="17" t="s">
        <v>16</v>
      </c>
      <c r="D18" s="150" t="s">
        <v>1</v>
      </c>
      <c r="E18" s="150" t="s">
        <v>2</v>
      </c>
      <c r="F18" s="150" t="s">
        <v>3</v>
      </c>
      <c r="G18" s="150" t="s">
        <v>4</v>
      </c>
      <c r="H18" s="150" t="s">
        <v>6</v>
      </c>
      <c r="O18" s="160"/>
      <c r="P18" s="160"/>
      <c r="Q18" s="160"/>
    </row>
    <row r="19" spans="2:17">
      <c r="C19" s="4">
        <v>2019</v>
      </c>
      <c r="D19" s="145">
        <f>521272/1000</f>
        <v>521.27200000000005</v>
      </c>
      <c r="E19" s="145">
        <v>187.95699999999999</v>
      </c>
      <c r="F19" s="145">
        <v>189.16200000000001</v>
      </c>
      <c r="G19" s="145">
        <v>175.315</v>
      </c>
      <c r="H19" s="145">
        <v>1404.1079999999999</v>
      </c>
      <c r="J19" s="150" t="s">
        <v>3</v>
      </c>
      <c r="K19" s="15" t="s">
        <v>12</v>
      </c>
      <c r="L19" s="16" t="s">
        <v>15</v>
      </c>
      <c r="M19" s="17" t="s">
        <v>16</v>
      </c>
      <c r="N19" t="s">
        <v>52</v>
      </c>
      <c r="O19" s="160" t="str">
        <f>K19&amp;" vs " &amp; $N$3</f>
        <v>LPP vs Median</v>
      </c>
      <c r="P19" s="160" t="str">
        <f>L19&amp;" vs " &amp; $N$3</f>
        <v>Orlen vs Median</v>
      </c>
      <c r="Q19" s="160" t="str">
        <f>M19&amp;" vs " &amp; $N$3</f>
        <v>CD Project vs Median</v>
      </c>
    </row>
    <row r="20" spans="2:17">
      <c r="C20" s="5">
        <v>2020</v>
      </c>
      <c r="D20" s="145">
        <f>2138875/1000</f>
        <v>2138.875</v>
      </c>
      <c r="E20" s="145">
        <v>498.87200000000001</v>
      </c>
      <c r="F20" s="145">
        <v>1164.9490000000001</v>
      </c>
      <c r="G20" s="145">
        <v>1150.1479999999999</v>
      </c>
      <c r="H20" s="145">
        <v>2890.299</v>
      </c>
      <c r="J20" s="4">
        <v>2019</v>
      </c>
      <c r="K20" s="146">
        <v>656</v>
      </c>
      <c r="L20" s="146">
        <v>5352</v>
      </c>
      <c r="M20" s="145">
        <v>189.16200000000001</v>
      </c>
      <c r="N20">
        <f t="shared" ref="N20:N25" si="8">MEDIAN(K20:M20)</f>
        <v>656</v>
      </c>
      <c r="O20" s="160">
        <f>(K20/$N$20)-1</f>
        <v>0</v>
      </c>
      <c r="P20" s="160">
        <f t="shared" ref="P20:P25" si="9">(L20/N20)-1</f>
        <v>7.1585365853658534</v>
      </c>
      <c r="Q20" s="160">
        <f t="shared" ref="Q20:Q25" si="10">(M20/N20)-1</f>
        <v>-0.71164329268292681</v>
      </c>
    </row>
    <row r="21" spans="2:17">
      <c r="C21" s="6">
        <v>2021</v>
      </c>
      <c r="D21" s="145">
        <f>888172/1000</f>
        <v>888.17200000000003</v>
      </c>
      <c r="E21" s="145">
        <v>422.40499999999997</v>
      </c>
      <c r="F21" s="145">
        <v>219.108</v>
      </c>
      <c r="G21" s="144">
        <v>208.90799999999999</v>
      </c>
      <c r="H21" s="145">
        <v>2158.7350000000001</v>
      </c>
      <c r="J21" s="5">
        <v>2020</v>
      </c>
      <c r="K21" s="93">
        <v>665</v>
      </c>
      <c r="L21" s="146">
        <v>2856</v>
      </c>
      <c r="M21" s="145">
        <v>1164.9490000000001</v>
      </c>
      <c r="N21">
        <f t="shared" si="8"/>
        <v>1164.9490000000001</v>
      </c>
      <c r="O21" s="160">
        <f>(K21/N21)-1</f>
        <v>-0.42915955977471976</v>
      </c>
      <c r="P21" s="160">
        <f t="shared" si="9"/>
        <v>1.4516094695990982</v>
      </c>
      <c r="Q21" s="160">
        <f t="shared" si="10"/>
        <v>0</v>
      </c>
    </row>
    <row r="22" spans="2:17">
      <c r="C22" s="7">
        <v>2022</v>
      </c>
      <c r="D22" s="152">
        <f>952576/1000</f>
        <v>952.57600000000002</v>
      </c>
      <c r="E22" s="145">
        <v>351.351</v>
      </c>
      <c r="F22" s="145">
        <v>392.52499999999998</v>
      </c>
      <c r="G22" s="145">
        <v>346.49099999999999</v>
      </c>
      <c r="H22" s="145">
        <v>2276.3310000000001</v>
      </c>
      <c r="J22" s="6">
        <v>2021</v>
      </c>
      <c r="K22" s="146">
        <v>-116</v>
      </c>
      <c r="L22" s="146">
        <v>13683</v>
      </c>
      <c r="M22" s="145">
        <v>219.108</v>
      </c>
      <c r="N22">
        <f t="shared" si="8"/>
        <v>219.108</v>
      </c>
      <c r="O22" s="160">
        <f>(K22/N22)-1</f>
        <v>-1.5294192818153605</v>
      </c>
      <c r="P22" s="160">
        <f t="shared" si="9"/>
        <v>61.448655457582561</v>
      </c>
      <c r="Q22" s="160">
        <f t="shared" si="10"/>
        <v>0</v>
      </c>
    </row>
    <row r="23" spans="2:17">
      <c r="C23" s="8">
        <v>2023</v>
      </c>
      <c r="D23" s="152">
        <f>1230199/1000</f>
        <v>1230.1990000000001</v>
      </c>
      <c r="E23" s="145">
        <v>434.63900000000001</v>
      </c>
      <c r="F23" s="145">
        <v>538.49199999999996</v>
      </c>
      <c r="G23" s="145">
        <v>481.10500000000002</v>
      </c>
      <c r="H23" s="145">
        <v>2613.4380000000001</v>
      </c>
      <c r="J23" s="7">
        <v>2022</v>
      </c>
      <c r="K23" s="144">
        <v>1232</v>
      </c>
      <c r="L23" s="146">
        <v>47831</v>
      </c>
      <c r="M23" s="145">
        <v>392.52499999999998</v>
      </c>
      <c r="N23">
        <f t="shared" si="8"/>
        <v>1232</v>
      </c>
      <c r="O23" s="160">
        <f>(K23/N23)-1</f>
        <v>0</v>
      </c>
      <c r="P23" s="160">
        <f t="shared" si="9"/>
        <v>37.823863636363633</v>
      </c>
      <c r="Q23" s="160">
        <f t="shared" si="10"/>
        <v>-0.68139204545454546</v>
      </c>
    </row>
    <row r="24" spans="2:17">
      <c r="C24" s="9">
        <v>2024</v>
      </c>
      <c r="D24" s="152">
        <f>985030/1000</f>
        <v>985.03</v>
      </c>
      <c r="E24" s="145">
        <v>401.21699999999998</v>
      </c>
      <c r="F24" s="145">
        <v>430.084</v>
      </c>
      <c r="G24" s="145">
        <v>469.87400000000002</v>
      </c>
      <c r="H24" s="145">
        <v>3042.424</v>
      </c>
      <c r="J24" s="8">
        <v>2023</v>
      </c>
      <c r="K24" s="144">
        <v>2047</v>
      </c>
      <c r="L24" s="146">
        <v>30314</v>
      </c>
      <c r="M24" s="145">
        <v>538.49199999999996</v>
      </c>
      <c r="N24">
        <f t="shared" si="8"/>
        <v>2047</v>
      </c>
      <c r="O24" s="160">
        <f>(K24/N24)-1</f>
        <v>0</v>
      </c>
      <c r="P24" s="160">
        <f t="shared" si="9"/>
        <v>13.808988764044944</v>
      </c>
      <c r="Q24" s="160">
        <f t="shared" si="10"/>
        <v>-0.73693600390815828</v>
      </c>
    </row>
    <row r="25" spans="2:17">
      <c r="J25" s="9">
        <v>2024</v>
      </c>
      <c r="K25" s="145">
        <v>2251</v>
      </c>
      <c r="L25" s="146">
        <f>4528+1070</f>
        <v>5598</v>
      </c>
      <c r="M25" s="145">
        <v>430.084</v>
      </c>
      <c r="N25">
        <f t="shared" si="8"/>
        <v>2251</v>
      </c>
      <c r="O25" s="160">
        <f>(K25/N25)-1</f>
        <v>0</v>
      </c>
      <c r="P25" s="160">
        <f t="shared" si="9"/>
        <v>1.4868947134606842</v>
      </c>
      <c r="Q25" s="160">
        <f t="shared" si="10"/>
        <v>-0.80893647267880942</v>
      </c>
    </row>
    <row r="26" spans="2:17">
      <c r="O26" s="160"/>
      <c r="P26" s="160"/>
      <c r="Q26" s="160"/>
    </row>
    <row r="27" spans="2:17">
      <c r="J27" s="150" t="s">
        <v>4</v>
      </c>
      <c r="K27" s="15" t="s">
        <v>12</v>
      </c>
      <c r="L27" s="16" t="s">
        <v>15</v>
      </c>
      <c r="M27" s="17" t="s">
        <v>16</v>
      </c>
      <c r="N27" t="s">
        <v>52</v>
      </c>
      <c r="O27" s="160" t="str">
        <f>K27&amp;" vs " &amp; $N$3</f>
        <v>LPP vs Median</v>
      </c>
      <c r="P27" s="160" t="str">
        <f>L27&amp;" vs " &amp; $N$3</f>
        <v>Orlen vs Median</v>
      </c>
      <c r="Q27" s="160" t="str">
        <f>M27&amp;" vs " &amp; $N$3</f>
        <v>CD Project vs Median</v>
      </c>
    </row>
    <row r="28" spans="2:17">
      <c r="J28" s="4">
        <v>2019</v>
      </c>
      <c r="K28" s="93">
        <v>442</v>
      </c>
      <c r="L28" s="146">
        <v>4298</v>
      </c>
      <c r="M28" s="145">
        <v>175.315</v>
      </c>
      <c r="N28">
        <f t="shared" ref="N28:N33" si="11">MEDIAN(K28:M28)</f>
        <v>442</v>
      </c>
      <c r="O28" s="160">
        <f>(K28/$N$28)-1</f>
        <v>0</v>
      </c>
      <c r="P28" s="160">
        <f t="shared" ref="P28:P33" si="12">(L28/N28)-1</f>
        <v>8.7239819004524879</v>
      </c>
      <c r="Q28" s="160">
        <f t="shared" ref="Q28:Q33" si="13">(M28/N28)-1</f>
        <v>-0.60335972850678732</v>
      </c>
    </row>
    <row r="29" spans="2:17">
      <c r="J29" s="5">
        <v>2020</v>
      </c>
      <c r="K29" s="93">
        <v>421</v>
      </c>
      <c r="L29" s="146">
        <v>2825</v>
      </c>
      <c r="M29" s="145">
        <v>1150.1479999999999</v>
      </c>
      <c r="N29">
        <f t="shared" si="11"/>
        <v>1150.1479999999999</v>
      </c>
      <c r="O29" s="160">
        <f>(K29/N29)-1</f>
        <v>-0.6339601512153219</v>
      </c>
      <c r="P29" s="160">
        <f t="shared" si="12"/>
        <v>1.4562056361442179</v>
      </c>
      <c r="Q29" s="160">
        <f t="shared" si="13"/>
        <v>0</v>
      </c>
    </row>
    <row r="30" spans="2:17">
      <c r="J30" s="6">
        <v>2021</v>
      </c>
      <c r="K30" s="146">
        <v>-190</v>
      </c>
      <c r="L30" s="146">
        <v>11188</v>
      </c>
      <c r="M30" s="144">
        <v>208.90799999999999</v>
      </c>
      <c r="N30">
        <f t="shared" si="11"/>
        <v>208.90799999999999</v>
      </c>
      <c r="O30" s="160">
        <f>(K30/N30)-1</f>
        <v>-1.9094912593103186</v>
      </c>
      <c r="P30" s="160">
        <f t="shared" si="12"/>
        <v>52.554674785072855</v>
      </c>
      <c r="Q30" s="160">
        <f t="shared" si="13"/>
        <v>0</v>
      </c>
    </row>
    <row r="31" spans="2:17">
      <c r="J31" s="7">
        <v>2022</v>
      </c>
      <c r="K31" s="93">
        <v>953</v>
      </c>
      <c r="L31" s="146">
        <v>39819</v>
      </c>
      <c r="M31" s="145">
        <v>346.49099999999999</v>
      </c>
      <c r="N31">
        <f t="shared" si="11"/>
        <v>953</v>
      </c>
      <c r="O31" s="160">
        <f>(K31/N31)-1</f>
        <v>0</v>
      </c>
      <c r="P31" s="160">
        <f t="shared" si="12"/>
        <v>40.782791185729273</v>
      </c>
      <c r="Q31" s="160">
        <f t="shared" si="13"/>
        <v>-0.63642077649527806</v>
      </c>
    </row>
    <row r="32" spans="2:17">
      <c r="J32" s="8">
        <v>2023</v>
      </c>
      <c r="K32" s="144">
        <v>1612</v>
      </c>
      <c r="L32" s="146">
        <v>20727</v>
      </c>
      <c r="M32" s="145">
        <v>481.10500000000002</v>
      </c>
      <c r="N32">
        <f t="shared" si="11"/>
        <v>1612</v>
      </c>
      <c r="O32" s="160">
        <f>(K32/N32)-1</f>
        <v>0</v>
      </c>
      <c r="P32" s="160">
        <f t="shared" si="12"/>
        <v>11.857940446650124</v>
      </c>
      <c r="Q32" s="160">
        <f t="shared" si="13"/>
        <v>-0.70154776674937969</v>
      </c>
    </row>
    <row r="33" spans="4:17">
      <c r="D33" s="94" t="s">
        <v>53</v>
      </c>
      <c r="J33" s="9">
        <v>2024</v>
      </c>
      <c r="K33" s="149">
        <v>1747</v>
      </c>
      <c r="L33" s="146">
        <f>2798+26</f>
        <v>2824</v>
      </c>
      <c r="M33" s="145">
        <v>469.87400000000002</v>
      </c>
      <c r="N33">
        <f t="shared" si="11"/>
        <v>1747</v>
      </c>
      <c r="O33" s="160">
        <f>(K33/N33)-1</f>
        <v>0</v>
      </c>
      <c r="P33" s="160">
        <f t="shared" si="12"/>
        <v>0.6164854035489411</v>
      </c>
      <c r="Q33" s="160">
        <f t="shared" si="13"/>
        <v>-0.73103949627933607</v>
      </c>
    </row>
    <row r="34" spans="4:17">
      <c r="E34" s="94" t="s">
        <v>12</v>
      </c>
      <c r="F34" s="94" t="s">
        <v>15</v>
      </c>
      <c r="G34" s="94" t="s">
        <v>54</v>
      </c>
      <c r="O34" s="160"/>
      <c r="P34" s="160"/>
      <c r="Q34" s="160"/>
    </row>
    <row r="35" spans="4:17">
      <c r="D35" s="11" t="s">
        <v>1</v>
      </c>
      <c r="E35" s="164">
        <v>0</v>
      </c>
      <c r="F35" s="164">
        <v>6.5191641081509362</v>
      </c>
      <c r="G35" s="164">
        <v>-0.95122164999504799</v>
      </c>
      <c r="J35" s="150" t="s">
        <v>6</v>
      </c>
      <c r="K35" s="15" t="s">
        <v>12</v>
      </c>
      <c r="L35" s="16" t="s">
        <v>15</v>
      </c>
      <c r="M35" s="17" t="s">
        <v>16</v>
      </c>
      <c r="N35" t="s">
        <v>52</v>
      </c>
      <c r="O35" s="160" t="str">
        <f>K35&amp;" vs " &amp; $N$3</f>
        <v>LPP vs Median</v>
      </c>
      <c r="P35" s="160" t="str">
        <f>L35&amp;" vs " &amp; $N$3</f>
        <v>Orlen vs Median</v>
      </c>
      <c r="Q35" s="160" t="str">
        <f>M35&amp;" vs " &amp; $N$3</f>
        <v>CD Project vs Median</v>
      </c>
    </row>
    <row r="36" spans="4:17">
      <c r="D36" s="11" t="s">
        <v>47</v>
      </c>
      <c r="E36" s="164">
        <v>4.74</v>
      </c>
      <c r="F36" s="164">
        <v>0</v>
      </c>
      <c r="G36" s="164">
        <v>-0.87</v>
      </c>
      <c r="J36" s="4">
        <v>2019</v>
      </c>
      <c r="K36" s="145">
        <v>7906</v>
      </c>
      <c r="L36" s="146">
        <v>71202</v>
      </c>
      <c r="M36" s="145">
        <v>1404.1079999999999</v>
      </c>
      <c r="N36" s="10">
        <f t="shared" ref="N36:N41" si="14">MEDIAN(K36:M36)</f>
        <v>7906</v>
      </c>
      <c r="O36" s="160">
        <f>(K36/$N$36)-1</f>
        <v>0</v>
      </c>
      <c r="P36" s="160">
        <f t="shared" ref="P36:P41" si="15">(L36/N36)-1</f>
        <v>8.0060713382241335</v>
      </c>
      <c r="Q36" s="160">
        <f t="shared" ref="Q36:Q41" si="16">(M36/N36)-1</f>
        <v>-0.82239969643308886</v>
      </c>
    </row>
    <row r="37" spans="4:17">
      <c r="D37" s="11" t="s">
        <v>48</v>
      </c>
      <c r="E37" s="164">
        <v>0</v>
      </c>
      <c r="F37" s="164">
        <v>1.4868947134606842</v>
      </c>
      <c r="G37" s="164">
        <v>-0.80893647267880942</v>
      </c>
      <c r="J37" s="5">
        <v>2020</v>
      </c>
      <c r="K37" s="144">
        <v>9606</v>
      </c>
      <c r="L37" s="146">
        <v>84048</v>
      </c>
      <c r="M37" s="145">
        <v>2890.299</v>
      </c>
      <c r="N37" s="10">
        <f t="shared" si="14"/>
        <v>9606</v>
      </c>
      <c r="O37" s="160">
        <f>(K37/N37)-1</f>
        <v>0</v>
      </c>
      <c r="P37" s="160">
        <f t="shared" si="15"/>
        <v>7.7495315427857587</v>
      </c>
      <c r="Q37" s="160">
        <f t="shared" si="16"/>
        <v>-0.6991152404747033</v>
      </c>
    </row>
    <row r="38" spans="4:17">
      <c r="D38" s="11" t="s">
        <v>49</v>
      </c>
      <c r="E38" s="163">
        <v>0</v>
      </c>
      <c r="F38" s="163">
        <v>0.6164854035489411</v>
      </c>
      <c r="G38" s="163">
        <v>-0.73103949627933607</v>
      </c>
      <c r="J38" s="6">
        <v>2021</v>
      </c>
      <c r="K38" s="145">
        <v>10354</v>
      </c>
      <c r="L38" s="146">
        <v>106754</v>
      </c>
      <c r="M38" s="145">
        <v>2158.7350000000001</v>
      </c>
      <c r="N38" s="10">
        <f t="shared" si="14"/>
        <v>10354</v>
      </c>
      <c r="O38" s="160">
        <f>(K38/N38)-1</f>
        <v>0</v>
      </c>
      <c r="P38" s="160">
        <f t="shared" si="15"/>
        <v>9.3104114351941281</v>
      </c>
      <c r="Q38" s="160">
        <f t="shared" si="16"/>
        <v>-0.79150714699632996</v>
      </c>
    </row>
    <row r="39" spans="4:17">
      <c r="D39" s="11" t="s">
        <v>55</v>
      </c>
      <c r="E39" s="164">
        <v>0</v>
      </c>
      <c r="F39" s="164">
        <v>13.544197474430032</v>
      </c>
      <c r="G39" s="164">
        <v>-0.82615713387806411</v>
      </c>
      <c r="J39" s="7">
        <v>2022</v>
      </c>
      <c r="K39" s="144">
        <v>14135</v>
      </c>
      <c r="L39" s="146">
        <v>313177</v>
      </c>
      <c r="M39" s="145">
        <v>2276.3310000000001</v>
      </c>
      <c r="N39" s="10">
        <f t="shared" si="14"/>
        <v>14135</v>
      </c>
      <c r="O39" s="160">
        <f>(K39/N39)-1</f>
        <v>0</v>
      </c>
      <c r="P39" s="160">
        <f t="shared" si="15"/>
        <v>21.156137247966043</v>
      </c>
      <c r="Q39" s="160">
        <f t="shared" si="16"/>
        <v>-0.83895783516094802</v>
      </c>
    </row>
    <row r="40" spans="4:17">
      <c r="J40" s="8">
        <v>2023</v>
      </c>
      <c r="K40" s="144">
        <v>13802</v>
      </c>
      <c r="L40" s="146">
        <v>264178</v>
      </c>
      <c r="M40" s="145">
        <v>2613.4380000000001</v>
      </c>
      <c r="N40" s="10">
        <f t="shared" si="14"/>
        <v>13802</v>
      </c>
      <c r="O40" s="160">
        <f>(K40/N40)-1</f>
        <v>0</v>
      </c>
      <c r="P40" s="160">
        <f t="shared" si="15"/>
        <v>18.140559339226201</v>
      </c>
      <c r="Q40" s="160">
        <f t="shared" si="16"/>
        <v>-0.81064787711925801</v>
      </c>
    </row>
    <row r="41" spans="4:17">
      <c r="J41" s="9">
        <v>2024</v>
      </c>
      <c r="K41" s="146">
        <v>17501</v>
      </c>
      <c r="L41" s="146">
        <v>254538</v>
      </c>
      <c r="M41" s="145">
        <v>3042.424</v>
      </c>
      <c r="N41" s="10">
        <f t="shared" si="14"/>
        <v>17501</v>
      </c>
      <c r="O41" s="160">
        <f>(K41/N41)-1</f>
        <v>0</v>
      </c>
      <c r="P41" s="160">
        <f t="shared" si="15"/>
        <v>13.544197474430032</v>
      </c>
      <c r="Q41" s="160">
        <f t="shared" si="16"/>
        <v>-0.82615713387806411</v>
      </c>
    </row>
  </sheetData>
  <pageMargins left="0.7" right="0.7" top="0.75" bottom="0.75" header="0.3" footer="0.3"/>
  <ignoredErrors>
    <ignoredError sqref="N12:N41" formulaRange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5AD0-2C4B-4B29-A7C1-882A1501307C}">
  <dimension ref="B3:AJ151"/>
  <sheetViews>
    <sheetView zoomScale="40" zoomScaleNormal="40" workbookViewId="0">
      <selection activeCell="J18" sqref="J18:Q18"/>
    </sheetView>
  </sheetViews>
  <sheetFormatPr defaultRowHeight="14.4"/>
  <cols>
    <col min="2" max="2" width="10" bestFit="1" customWidth="1"/>
    <col min="4" max="4" width="10" customWidth="1"/>
    <col min="5" max="5" width="13.109375" bestFit="1" customWidth="1"/>
    <col min="6" max="6" width="29.33203125" bestFit="1" customWidth="1"/>
    <col min="7" max="7" width="18.44140625" bestFit="1" customWidth="1"/>
    <col min="8" max="8" width="18.109375" bestFit="1" customWidth="1"/>
    <col min="9" max="9" width="29.33203125" bestFit="1" customWidth="1"/>
    <col min="10" max="10" width="18.44140625" customWidth="1"/>
    <col min="11" max="11" width="18.109375" customWidth="1"/>
    <col min="12" max="17" width="13.44140625" bestFit="1" customWidth="1"/>
    <col min="18" max="18" width="13.44140625" customWidth="1"/>
  </cols>
  <sheetData>
    <row r="3" spans="2:36">
      <c r="B3" s="15" t="s">
        <v>12</v>
      </c>
      <c r="C3" t="s">
        <v>18</v>
      </c>
      <c r="D3" t="s">
        <v>19</v>
      </c>
      <c r="E3" t="s">
        <v>1</v>
      </c>
      <c r="F3" t="s">
        <v>35</v>
      </c>
      <c r="G3" t="s">
        <v>22</v>
      </c>
      <c r="I3" s="168" t="s">
        <v>60</v>
      </c>
      <c r="J3" s="169"/>
      <c r="K3" s="169"/>
      <c r="L3" s="169"/>
      <c r="M3" s="169"/>
      <c r="N3" s="169"/>
      <c r="O3" s="169"/>
      <c r="P3" s="169"/>
      <c r="Q3" s="170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2:36" ht="18.600000000000001" thickBot="1">
      <c r="C4" s="4">
        <v>2019</v>
      </c>
      <c r="D4" s="165">
        <v>5.0485436893203881E-2</v>
      </c>
      <c r="E4" s="144">
        <v>8755</v>
      </c>
      <c r="F4" s="166">
        <v>1.808525754884547</v>
      </c>
      <c r="G4" s="167">
        <v>7.492861222158767E-2</v>
      </c>
      <c r="I4" s="171"/>
      <c r="J4" s="2"/>
      <c r="K4" s="2"/>
      <c r="L4" s="203"/>
      <c r="M4" s="2"/>
      <c r="N4" s="2"/>
      <c r="O4" s="2"/>
      <c r="P4" s="2"/>
      <c r="Q4" s="17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2:36">
      <c r="C5" s="5">
        <v>2020</v>
      </c>
      <c r="D5" s="165">
        <v>4.2529548439236287E-2</v>
      </c>
      <c r="E5" s="144">
        <v>9899</v>
      </c>
      <c r="F5" s="166">
        <v>1.9581151832460733</v>
      </c>
      <c r="G5" s="167">
        <v>6.71785028790787E-2</v>
      </c>
      <c r="I5" s="171" t="s">
        <v>61</v>
      </c>
      <c r="J5" s="173"/>
      <c r="K5" s="2"/>
      <c r="L5" s="2"/>
      <c r="M5" s="2"/>
      <c r="N5" s="2"/>
      <c r="O5" s="2"/>
      <c r="P5" s="2"/>
      <c r="Q5" s="17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2:36">
      <c r="C6" s="6">
        <v>2021</v>
      </c>
      <c r="D6" s="165">
        <v>-2.4209989806320081E-2</v>
      </c>
      <c r="E6" s="144">
        <v>7848</v>
      </c>
      <c r="F6" s="166">
        <v>2.3745110821382007</v>
      </c>
      <c r="G6" s="167">
        <v>-1.4780835881753314E-2</v>
      </c>
      <c r="I6" s="171" t="s">
        <v>62</v>
      </c>
      <c r="J6" s="2">
        <v>0.99963147873320013</v>
      </c>
      <c r="K6" s="2"/>
      <c r="L6" s="200"/>
      <c r="M6" s="200"/>
      <c r="N6" s="200"/>
      <c r="O6" s="200"/>
      <c r="P6" s="200"/>
      <c r="Q6" s="20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2:36">
      <c r="C7" s="7">
        <v>2022</v>
      </c>
      <c r="D7" s="165">
        <v>6.7930714947608523E-2</v>
      </c>
      <c r="E7" s="144">
        <v>14029</v>
      </c>
      <c r="F7" s="166">
        <v>3.3199877750611249</v>
      </c>
      <c r="G7" s="167">
        <v>8.7818091097013329E-2</v>
      </c>
      <c r="I7" s="171" t="s">
        <v>63</v>
      </c>
      <c r="J7" s="2">
        <v>0.99926309327432439</v>
      </c>
      <c r="K7" s="2"/>
      <c r="L7" s="205"/>
      <c r="M7" s="205"/>
      <c r="N7" s="205"/>
      <c r="O7" s="205"/>
      <c r="P7" s="205"/>
      <c r="Q7" s="206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2:36">
      <c r="C8" s="8">
        <v>2023</v>
      </c>
      <c r="D8" s="165">
        <v>9.2611743077099851E-2</v>
      </c>
      <c r="E8" s="144">
        <v>17406</v>
      </c>
      <c r="F8" s="166">
        <v>1.8946364214543141</v>
      </c>
      <c r="G8" s="165">
        <v>0.11760312535907158</v>
      </c>
      <c r="I8" s="171" t="s">
        <v>64</v>
      </c>
      <c r="J8" s="2">
        <v>0.99815773318581114</v>
      </c>
      <c r="K8" s="2"/>
      <c r="L8" s="205"/>
      <c r="M8" s="205"/>
      <c r="N8" s="205"/>
      <c r="O8" s="205"/>
      <c r="P8" s="205"/>
      <c r="Q8" s="206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2:36">
      <c r="C9" s="9">
        <v>2024</v>
      </c>
      <c r="D9" s="165">
        <v>8.6510844805387732E-2</v>
      </c>
      <c r="E9" s="145">
        <v>20194</v>
      </c>
      <c r="F9" s="166">
        <v>1.7135043379856658</v>
      </c>
      <c r="G9" s="165">
        <v>0.11146875309497871</v>
      </c>
      <c r="I9" s="171" t="s">
        <v>65</v>
      </c>
      <c r="J9" s="2">
        <v>1.8201571934984286E-3</v>
      </c>
      <c r="K9" s="2"/>
      <c r="L9" s="205"/>
      <c r="M9" s="205"/>
      <c r="N9" s="205"/>
      <c r="O9" s="205"/>
      <c r="P9" s="205"/>
      <c r="Q9" s="17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2:36" ht="15" thickBot="1">
      <c r="B10" s="16" t="s">
        <v>15</v>
      </c>
      <c r="D10" t="s">
        <v>19</v>
      </c>
      <c r="E10" t="s">
        <v>1</v>
      </c>
      <c r="F10" t="s">
        <v>35</v>
      </c>
      <c r="G10" t="s">
        <v>22</v>
      </c>
      <c r="I10" s="174" t="s">
        <v>66</v>
      </c>
      <c r="J10" s="175">
        <v>6</v>
      </c>
      <c r="K10" s="2"/>
      <c r="L10" s="2"/>
      <c r="M10" s="2"/>
      <c r="N10" s="2"/>
      <c r="O10" s="2"/>
      <c r="P10" s="2"/>
      <c r="Q10" s="17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2:36">
      <c r="C11" s="4">
        <v>2019</v>
      </c>
      <c r="D11" s="165">
        <v>3.8650036419880761E-2</v>
      </c>
      <c r="E11" s="146">
        <v>111203</v>
      </c>
      <c r="F11" s="166">
        <v>0.8442769445955397</v>
      </c>
      <c r="G11" s="165">
        <v>4.8128197980270314E-2</v>
      </c>
      <c r="I11" s="171"/>
      <c r="J11" s="2"/>
      <c r="K11" s="2"/>
      <c r="L11" s="2"/>
      <c r="M11" s="2"/>
      <c r="N11" s="2"/>
      <c r="O11" s="2"/>
      <c r="P11" s="2"/>
      <c r="Q11" s="17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2:36" ht="15" thickBot="1">
      <c r="C12" s="5">
        <v>2020</v>
      </c>
      <c r="D12" s="165">
        <v>3.2780227430958458E-2</v>
      </c>
      <c r="E12" s="146">
        <v>86180</v>
      </c>
      <c r="F12" s="166">
        <v>0.97780084455872984</v>
      </c>
      <c r="G12" s="165">
        <v>3.3139939661174289E-2</v>
      </c>
      <c r="I12" s="171" t="s">
        <v>67</v>
      </c>
      <c r="J12" s="2"/>
      <c r="K12" s="2"/>
      <c r="L12" s="2"/>
      <c r="M12" s="2"/>
      <c r="N12" s="2"/>
      <c r="O12" s="2"/>
      <c r="P12" s="2"/>
      <c r="Q12" s="17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2:36">
      <c r="C13" s="6">
        <v>2021</v>
      </c>
      <c r="D13" s="165">
        <v>8.5182844656276416E-2</v>
      </c>
      <c r="E13" s="146">
        <v>131341</v>
      </c>
      <c r="F13" s="166">
        <v>1.0303929400129332</v>
      </c>
      <c r="G13" s="165">
        <v>0.10417919766105024</v>
      </c>
      <c r="I13" s="197"/>
      <c r="J13" s="198" t="s">
        <v>42</v>
      </c>
      <c r="K13" s="198" t="s">
        <v>43</v>
      </c>
      <c r="L13" s="198" t="s">
        <v>44</v>
      </c>
      <c r="M13" s="198" t="s">
        <v>45</v>
      </c>
      <c r="N13" s="207" t="s">
        <v>68</v>
      </c>
      <c r="O13" s="2"/>
      <c r="P13" s="2"/>
      <c r="Q13" s="17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2:36">
      <c r="C14" s="7">
        <v>2022</v>
      </c>
      <c r="D14" s="165">
        <v>0.14099463555406053</v>
      </c>
      <c r="E14" s="146">
        <v>282415</v>
      </c>
      <c r="F14" s="166">
        <v>0.94590175389560482</v>
      </c>
      <c r="G14" s="165">
        <v>0.16936423348618168</v>
      </c>
      <c r="I14" s="208" t="s">
        <v>69</v>
      </c>
      <c r="J14" s="209">
        <v>3</v>
      </c>
      <c r="K14" s="209">
        <v>8.9849386420135149E-3</v>
      </c>
      <c r="L14" s="209">
        <v>2.9949795473378383E-3</v>
      </c>
      <c r="M14" s="209">
        <v>904.01589822028984</v>
      </c>
      <c r="N14" s="209">
        <v>1.1051564266754091E-3</v>
      </c>
      <c r="O14" s="2"/>
      <c r="P14" s="2"/>
      <c r="Q14" s="17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2:36">
      <c r="C15" s="8">
        <v>2023</v>
      </c>
      <c r="D15" s="165">
        <v>5.5603097913710174E-2</v>
      </c>
      <c r="E15" s="146">
        <v>372767</v>
      </c>
      <c r="F15" s="166">
        <v>0.41434913174043608</v>
      </c>
      <c r="G15" s="165">
        <v>8.1321576212486618E-2</v>
      </c>
      <c r="I15" s="208" t="s">
        <v>70</v>
      </c>
      <c r="J15" s="209">
        <v>2</v>
      </c>
      <c r="K15" s="209">
        <v>6.6259444180881519E-6</v>
      </c>
      <c r="L15" s="209">
        <v>3.312972209044076E-6</v>
      </c>
      <c r="M15" s="209"/>
      <c r="N15" s="209"/>
      <c r="O15" s="2"/>
      <c r="P15" s="2"/>
      <c r="Q15" s="17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2:36" ht="15" thickBot="1">
      <c r="C16" s="9">
        <v>2024</v>
      </c>
      <c r="D16" s="165">
        <v>1.8598279790835209E-2</v>
      </c>
      <c r="E16" s="146">
        <v>151842</v>
      </c>
      <c r="F16" s="166">
        <v>0.73522213662919511</v>
      </c>
      <c r="G16" s="165">
        <v>3.6867269925317109E-2</v>
      </c>
      <c r="I16" s="208" t="s">
        <v>71</v>
      </c>
      <c r="J16" s="199">
        <v>5</v>
      </c>
      <c r="K16" s="199">
        <v>8.9915645864316034E-3</v>
      </c>
      <c r="L16" s="199"/>
      <c r="M16" s="199"/>
      <c r="N16" s="199"/>
      <c r="O16" s="2"/>
      <c r="P16" s="2"/>
      <c r="Q16" s="17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2:36" ht="15" thickBot="1">
      <c r="B17" s="17" t="s">
        <v>16</v>
      </c>
      <c r="D17" t="s">
        <v>19</v>
      </c>
      <c r="E17" t="s">
        <v>1</v>
      </c>
      <c r="F17" t="s">
        <v>35</v>
      </c>
      <c r="G17" t="s">
        <v>22</v>
      </c>
      <c r="I17" s="171"/>
      <c r="J17" s="2"/>
      <c r="K17" s="2"/>
      <c r="L17" s="2"/>
      <c r="M17" s="2"/>
      <c r="N17" s="2"/>
      <c r="O17" s="2"/>
      <c r="P17" s="2"/>
      <c r="Q17" s="17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2:36">
      <c r="C18" s="4">
        <v>2019</v>
      </c>
      <c r="D18" s="165">
        <v>0.33632153654905689</v>
      </c>
      <c r="E18" s="145">
        <f>521272/1000</f>
        <v>521.27200000000005</v>
      </c>
      <c r="F18" s="166">
        <v>0.39343337092807762</v>
      </c>
      <c r="G18" s="165">
        <v>0.3628854033978422</v>
      </c>
      <c r="H18" s="14"/>
      <c r="I18" s="176"/>
      <c r="J18" s="200" t="s">
        <v>72</v>
      </c>
      <c r="K18" s="200" t="s">
        <v>65</v>
      </c>
      <c r="L18" s="200" t="s">
        <v>46</v>
      </c>
      <c r="M18" s="200" t="s">
        <v>73</v>
      </c>
      <c r="N18" s="200" t="s">
        <v>74</v>
      </c>
      <c r="O18" s="200" t="s">
        <v>75</v>
      </c>
      <c r="P18" s="200" t="s">
        <v>76</v>
      </c>
      <c r="Q18" s="204" t="s">
        <v>77</v>
      </c>
      <c r="R18" s="177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2:36">
      <c r="C19" s="5">
        <v>2020</v>
      </c>
      <c r="D19" s="165">
        <v>0.53773502425340425</v>
      </c>
      <c r="E19" s="145">
        <f>2138875/1000</f>
        <v>2138.875</v>
      </c>
      <c r="F19" s="166">
        <v>0.62523560847333948</v>
      </c>
      <c r="G19" s="165">
        <v>0.54465501724037169</v>
      </c>
      <c r="H19" s="11"/>
      <c r="I19" s="208" t="s">
        <v>78</v>
      </c>
      <c r="J19" s="2">
        <v>-2.386251353931762E-2</v>
      </c>
      <c r="K19" s="2">
        <v>3.9653280470573994E-3</v>
      </c>
      <c r="L19" s="2">
        <v>-6.0177905222811452</v>
      </c>
      <c r="M19" s="2">
        <v>2.6520215938558207E-2</v>
      </c>
      <c r="N19" s="2">
        <v>-4.0923943085341252E-2</v>
      </c>
      <c r="O19" s="2">
        <v>-6.8010839932939916E-3</v>
      </c>
      <c r="P19" s="2">
        <v>-4.0923943085341252E-2</v>
      </c>
      <c r="Q19" s="172">
        <v>-6.8010839932939916E-3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2:36">
      <c r="C20" s="6">
        <v>2021</v>
      </c>
      <c r="D20" s="165">
        <v>0.23521119783105071</v>
      </c>
      <c r="E20" s="145">
        <f>888172/1000</f>
        <v>888.17200000000003</v>
      </c>
      <c r="F20" s="166">
        <v>0.13830557719879474</v>
      </c>
      <c r="G20" s="165">
        <v>0.2466954598884</v>
      </c>
      <c r="I20" s="171" t="s">
        <v>1</v>
      </c>
      <c r="J20" s="2">
        <v>6.2710430664250662E-7</v>
      </c>
      <c r="K20" s="2">
        <v>2.6475568751397601E-7</v>
      </c>
      <c r="L20" s="2">
        <v>2.3686150523561569</v>
      </c>
      <c r="M20" s="2">
        <v>0.14139674025172977</v>
      </c>
      <c r="N20" s="2">
        <v>-5.1204747495619821E-7</v>
      </c>
      <c r="O20" s="2">
        <v>1.7662560882412116E-6</v>
      </c>
      <c r="P20" s="2">
        <v>-5.1204747495619821E-7</v>
      </c>
      <c r="Q20" s="172">
        <v>1.7662560882412116E-6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2:36">
      <c r="C21" s="7">
        <v>2022</v>
      </c>
      <c r="D21" s="165">
        <v>0.36374105583176564</v>
      </c>
      <c r="E21" s="152">
        <f>952576/1000</f>
        <v>952.57600000000002</v>
      </c>
      <c r="F21" s="166">
        <v>0.22840648083699161</v>
      </c>
      <c r="G21" s="165">
        <v>0.41206685870733673</v>
      </c>
      <c r="I21" s="171" t="s">
        <v>35</v>
      </c>
      <c r="J21" s="2">
        <v>2.8093516776514383E-3</v>
      </c>
      <c r="K21" s="2">
        <v>1.3794544473430062E-3</v>
      </c>
      <c r="L21" s="2">
        <v>2.0365671973167254</v>
      </c>
      <c r="M21" s="2">
        <v>0.17861695618513485</v>
      </c>
      <c r="N21" s="2">
        <v>-3.125961765773985E-3</v>
      </c>
      <c r="O21" s="2">
        <v>8.7446651210768625E-3</v>
      </c>
      <c r="P21" s="2">
        <v>-3.125961765773985E-3</v>
      </c>
      <c r="Q21" s="172">
        <v>8.7446651210768625E-3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2:36">
      <c r="C22" s="8">
        <v>2023</v>
      </c>
      <c r="D22" s="165">
        <v>0.39107900429117565</v>
      </c>
      <c r="E22" s="152">
        <f>1230199/1000</f>
        <v>1230.1990000000001</v>
      </c>
      <c r="F22" s="166">
        <v>0.16808890405202437</v>
      </c>
      <c r="G22" s="165">
        <v>0.43772755464766266</v>
      </c>
      <c r="I22" s="178" t="s">
        <v>22</v>
      </c>
      <c r="J22" s="179">
        <v>0.84040349444963336</v>
      </c>
      <c r="K22" s="179">
        <v>2.8186252595192456E-2</v>
      </c>
      <c r="L22" s="179">
        <v>29.816077593549114</v>
      </c>
      <c r="M22" s="179">
        <v>1.1229668937777382E-3</v>
      </c>
      <c r="N22" s="179">
        <v>0.71912783777952061</v>
      </c>
      <c r="O22" s="179">
        <v>0.96167915111974611</v>
      </c>
      <c r="P22" s="179">
        <v>0.71912783777952061</v>
      </c>
      <c r="Q22" s="180">
        <v>0.96167915111974611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2:36">
      <c r="C23" s="9">
        <v>2024</v>
      </c>
      <c r="D23" s="165">
        <v>0.47701491325137307</v>
      </c>
      <c r="E23" s="152">
        <f>985030/1000</f>
        <v>985.03</v>
      </c>
      <c r="F23" s="166">
        <v>0.16674599300809415</v>
      </c>
      <c r="G23" s="165">
        <v>0.43662020446077787</v>
      </c>
      <c r="I23" s="171"/>
      <c r="J23" s="2"/>
      <c r="K23" s="2"/>
      <c r="L23" s="2"/>
      <c r="M23" s="2"/>
      <c r="N23" s="2"/>
      <c r="O23" s="2"/>
      <c r="P23" s="2"/>
      <c r="Q23" s="17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2:36">
      <c r="I24" s="171"/>
      <c r="J24" s="2"/>
      <c r="K24" s="2"/>
      <c r="L24" s="2"/>
      <c r="M24" s="2"/>
      <c r="N24" s="2"/>
      <c r="O24" s="2"/>
      <c r="P24" s="2"/>
      <c r="Q24" s="17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2:36">
      <c r="I25" s="171"/>
      <c r="J25" s="2"/>
      <c r="K25" s="2"/>
      <c r="L25" s="2"/>
      <c r="M25" s="2"/>
      <c r="N25" s="2"/>
      <c r="O25" s="2"/>
      <c r="P25" s="2"/>
      <c r="Q25" s="17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2:36">
      <c r="I26" s="201" t="s">
        <v>80</v>
      </c>
      <c r="J26" s="2"/>
      <c r="K26" s="2"/>
      <c r="L26" s="2"/>
      <c r="M26" s="2"/>
      <c r="N26" s="2"/>
      <c r="O26" s="2"/>
      <c r="P26" s="2"/>
      <c r="Q26" s="17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2:36">
      <c r="I27" s="171"/>
      <c r="J27" s="2"/>
      <c r="K27" s="2"/>
      <c r="L27" s="2"/>
      <c r="M27" s="2"/>
      <c r="N27" s="2"/>
      <c r="O27" s="2"/>
      <c r="P27" s="2"/>
      <c r="Q27" s="17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2:36">
      <c r="I28" s="202" t="s">
        <v>81</v>
      </c>
      <c r="J28" s="200" t="s">
        <v>82</v>
      </c>
      <c r="K28" s="2" t="s">
        <v>79</v>
      </c>
      <c r="L28" s="2"/>
      <c r="M28" s="2"/>
      <c r="N28" s="2"/>
      <c r="O28" s="2"/>
      <c r="P28" s="2"/>
      <c r="Q28" s="17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2:36">
      <c r="I29" s="171">
        <v>1</v>
      </c>
      <c r="J29" s="2">
        <v>4.9678837074182046E-2</v>
      </c>
      <c r="K29" s="2">
        <v>8.0659981902183459E-4</v>
      </c>
      <c r="L29" s="2"/>
      <c r="M29" s="2"/>
      <c r="N29" s="2"/>
      <c r="O29" s="2"/>
      <c r="P29" s="2"/>
      <c r="Q29" s="17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2:36">
      <c r="I30" s="171">
        <v>2</v>
      </c>
      <c r="J30" s="2">
        <v>4.4303274738696163E-2</v>
      </c>
      <c r="K30" s="2">
        <v>-1.7737262994598768E-3</v>
      </c>
      <c r="L30" s="2"/>
      <c r="M30" s="2"/>
      <c r="N30" s="2"/>
      <c r="O30" s="2"/>
      <c r="P30" s="2"/>
      <c r="Q30" s="17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2:36">
      <c r="I31" s="171">
        <v>3</v>
      </c>
      <c r="J31" s="2">
        <v>-2.4692028374492352E-2</v>
      </c>
      <c r="K31" s="2">
        <v>4.8203856817227025E-4</v>
      </c>
      <c r="L31" s="2"/>
      <c r="M31" s="2"/>
      <c r="N31" s="2"/>
      <c r="O31" s="2"/>
      <c r="P31" s="2"/>
      <c r="Q31" s="17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2:36">
      <c r="I32" s="171">
        <v>4</v>
      </c>
      <c r="J32" s="2">
        <v>6.8064776638046581E-2</v>
      </c>
      <c r="K32" s="2">
        <v>-1.3406169043805871E-4</v>
      </c>
      <c r="L32" s="2"/>
      <c r="M32" s="2"/>
      <c r="N32" s="2"/>
      <c r="O32" s="2"/>
      <c r="P32" s="2"/>
      <c r="Q32" s="17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9:36">
      <c r="I33" s="171">
        <v>5</v>
      </c>
      <c r="J33" s="2">
        <v>9.1209641541216094E-2</v>
      </c>
      <c r="K33" s="2">
        <v>1.4021015358837569E-3</v>
      </c>
      <c r="L33" s="2"/>
      <c r="M33" s="2"/>
      <c r="N33" s="2"/>
      <c r="O33" s="2"/>
      <c r="P33" s="2"/>
      <c r="Q33" s="17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9:36">
      <c r="I34" s="178">
        <v>6</v>
      </c>
      <c r="J34" s="179">
        <v>8.72937967385677E-2</v>
      </c>
      <c r="K34" s="179">
        <v>-7.8295193317996781E-4</v>
      </c>
      <c r="L34" s="179"/>
      <c r="M34" s="179"/>
      <c r="N34" s="179"/>
      <c r="O34" s="179"/>
      <c r="P34" s="179"/>
      <c r="Q34" s="18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9:36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9:36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9:36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9:36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9:36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9:36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9:36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9:36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9:36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9:36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9:36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9:36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9:36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9:36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6:36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6:36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6:36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6:36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6:36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7" spans="6:36">
      <c r="F57" s="133" t="s">
        <v>60</v>
      </c>
      <c r="G57" s="116"/>
      <c r="H57" s="116"/>
      <c r="I57" s="116"/>
      <c r="J57" s="116"/>
      <c r="K57" s="116"/>
      <c r="L57" s="116"/>
      <c r="M57" s="116"/>
      <c r="N57" s="137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</row>
    <row r="58" spans="6:36" ht="15" thickBot="1">
      <c r="F58" s="136"/>
      <c r="G58" s="116"/>
      <c r="H58" s="116"/>
      <c r="I58" s="116"/>
      <c r="J58" s="116"/>
      <c r="K58" s="116"/>
      <c r="L58" s="116"/>
      <c r="M58" s="116"/>
      <c r="N58" s="137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</row>
    <row r="59" spans="6:36">
      <c r="F59" s="136" t="s">
        <v>61</v>
      </c>
      <c r="G59" s="117"/>
      <c r="H59" s="116"/>
      <c r="I59" s="116"/>
      <c r="J59" s="116"/>
      <c r="K59" s="116"/>
      <c r="L59" s="116"/>
      <c r="M59" s="116"/>
      <c r="N59" s="137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</row>
    <row r="60" spans="6:36">
      <c r="F60" s="136" t="s">
        <v>62</v>
      </c>
      <c r="G60" s="116">
        <v>0.99753363916809312</v>
      </c>
      <c r="H60" s="116"/>
      <c r="I60" s="116"/>
      <c r="J60" s="116"/>
      <c r="K60" s="116"/>
      <c r="L60" s="116"/>
      <c r="M60" s="116"/>
      <c r="N60" s="137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</row>
    <row r="61" spans="6:36">
      <c r="F61" s="136" t="s">
        <v>63</v>
      </c>
      <c r="G61" s="116">
        <v>0.99507336127193946</v>
      </c>
      <c r="H61" s="116"/>
      <c r="I61" s="116"/>
      <c r="J61" s="116"/>
      <c r="K61" s="116"/>
      <c r="L61" s="116"/>
      <c r="M61" s="116"/>
      <c r="N61" s="137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</row>
    <row r="62" spans="6:36">
      <c r="F62" s="136" t="s">
        <v>64</v>
      </c>
      <c r="G62" s="116">
        <v>0.98768340317984871</v>
      </c>
      <c r="H62" s="116"/>
      <c r="I62" s="116"/>
      <c r="J62" s="116"/>
      <c r="K62" s="116"/>
      <c r="L62" s="116"/>
      <c r="M62" s="116"/>
      <c r="N62" s="137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</row>
    <row r="63" spans="6:36">
      <c r="F63" s="136" t="s">
        <v>65</v>
      </c>
      <c r="G63" s="116">
        <v>4.9882432614303399E-3</v>
      </c>
      <c r="H63" s="116"/>
      <c r="I63" s="116"/>
      <c r="J63" s="116"/>
      <c r="K63" s="116"/>
      <c r="L63" s="116"/>
      <c r="M63" s="116"/>
      <c r="N63" s="137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</row>
    <row r="64" spans="6:36" ht="15" thickBot="1">
      <c r="F64" s="138" t="s">
        <v>66</v>
      </c>
      <c r="G64" s="118">
        <v>6</v>
      </c>
      <c r="H64" s="116"/>
      <c r="I64" s="116"/>
      <c r="J64" s="116"/>
      <c r="K64" s="116"/>
      <c r="L64" s="116"/>
      <c r="M64" s="116"/>
      <c r="N64" s="137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</row>
    <row r="65" spans="6:34">
      <c r="F65" s="136"/>
      <c r="G65" s="116"/>
      <c r="H65" s="116"/>
      <c r="I65" s="116"/>
      <c r="J65" s="116"/>
      <c r="K65" s="116"/>
      <c r="L65" s="116"/>
      <c r="M65" s="116"/>
      <c r="N65" s="137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</row>
    <row r="66" spans="6:34" ht="15" thickBot="1">
      <c r="F66" s="136" t="s">
        <v>67</v>
      </c>
      <c r="G66" s="116"/>
      <c r="H66" s="116"/>
      <c r="I66" s="116"/>
      <c r="J66" s="116"/>
      <c r="K66" s="116"/>
      <c r="L66" s="116"/>
      <c r="M66" s="116"/>
      <c r="N66" s="137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</row>
    <row r="67" spans="6:34">
      <c r="F67" s="210"/>
      <c r="G67" s="119" t="s">
        <v>42</v>
      </c>
      <c r="H67" s="119" t="s">
        <v>43</v>
      </c>
      <c r="I67" s="119" t="s">
        <v>44</v>
      </c>
      <c r="J67" s="119" t="s">
        <v>45</v>
      </c>
      <c r="K67" s="212" t="s">
        <v>68</v>
      </c>
      <c r="L67" s="116"/>
      <c r="M67" s="116"/>
      <c r="N67" s="137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</row>
    <row r="68" spans="6:34">
      <c r="F68" s="211" t="s">
        <v>69</v>
      </c>
      <c r="G68" s="116">
        <v>3</v>
      </c>
      <c r="H68" s="116">
        <v>1.0051471100184367E-2</v>
      </c>
      <c r="I68" s="116">
        <v>3.3504903667281225E-3</v>
      </c>
      <c r="J68" s="116">
        <v>134.65209800539057</v>
      </c>
      <c r="K68" s="116">
        <v>7.3808486911755367E-3</v>
      </c>
      <c r="L68" s="116"/>
      <c r="M68" s="116"/>
      <c r="N68" s="137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</row>
    <row r="69" spans="6:34">
      <c r="F69" s="211" t="s">
        <v>70</v>
      </c>
      <c r="G69" s="116">
        <v>2</v>
      </c>
      <c r="H69" s="116">
        <v>4.9765141670410384E-5</v>
      </c>
      <c r="I69" s="116">
        <v>2.4882570835205192E-5</v>
      </c>
      <c r="J69" s="116"/>
      <c r="K69" s="116"/>
      <c r="L69" s="116"/>
      <c r="M69" s="116"/>
      <c r="N69" s="137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</row>
    <row r="70" spans="6:34" ht="15" thickBot="1">
      <c r="F70" s="211" t="s">
        <v>71</v>
      </c>
      <c r="G70" s="118">
        <v>5</v>
      </c>
      <c r="H70" s="118">
        <v>1.0101236241854777E-2</v>
      </c>
      <c r="I70" s="118"/>
      <c r="J70" s="118"/>
      <c r="K70" s="118"/>
      <c r="L70" s="116"/>
      <c r="M70" s="116"/>
      <c r="N70" s="137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</row>
    <row r="71" spans="6:34" ht="15" thickBot="1">
      <c r="F71" s="136"/>
      <c r="G71" s="116"/>
      <c r="H71" s="116"/>
      <c r="I71" s="116"/>
      <c r="J71" s="116"/>
      <c r="K71" s="116"/>
      <c r="L71" s="116"/>
      <c r="M71" s="116"/>
      <c r="N71" s="137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</row>
    <row r="72" spans="6:34">
      <c r="F72" s="139"/>
      <c r="G72" s="213" t="s">
        <v>72</v>
      </c>
      <c r="H72" s="213" t="s">
        <v>65</v>
      </c>
      <c r="I72" s="213" t="s">
        <v>46</v>
      </c>
      <c r="J72" s="213" t="s">
        <v>73</v>
      </c>
      <c r="K72" s="213" t="s">
        <v>74</v>
      </c>
      <c r="L72" s="213" t="s">
        <v>75</v>
      </c>
      <c r="M72" s="213" t="s">
        <v>76</v>
      </c>
      <c r="N72" s="214" t="s">
        <v>77</v>
      </c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</row>
    <row r="73" spans="6:34">
      <c r="F73" s="211" t="s">
        <v>78</v>
      </c>
      <c r="G73" s="116">
        <v>-7.7382780684329106E-2</v>
      </c>
      <c r="H73" s="116">
        <v>4.9303153436674178E-2</v>
      </c>
      <c r="I73" s="116">
        <v>-1.5695300460592421</v>
      </c>
      <c r="J73" s="116">
        <v>0.25709114601971261</v>
      </c>
      <c r="K73" s="116">
        <v>-0.28951712840389188</v>
      </c>
      <c r="L73" s="116">
        <v>0.13475156703523369</v>
      </c>
      <c r="M73" s="116">
        <v>-0.28951712840389188</v>
      </c>
      <c r="N73" s="137">
        <v>0.13475156703523369</v>
      </c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</row>
    <row r="74" spans="6:34">
      <c r="F74" s="136" t="s">
        <v>1</v>
      </c>
      <c r="G74" s="116">
        <v>1.2855626988664079E-7</v>
      </c>
      <c r="H74" s="116">
        <v>1.1769137710956299E-7</v>
      </c>
      <c r="I74" s="116">
        <v>1.092316812360546</v>
      </c>
      <c r="J74" s="116">
        <v>0.3887223054479938</v>
      </c>
      <c r="K74" s="116">
        <v>-3.77828855101794E-7</v>
      </c>
      <c r="L74" s="116">
        <v>6.3494139487507553E-7</v>
      </c>
      <c r="M74" s="116">
        <v>-3.77828855101794E-7</v>
      </c>
      <c r="N74" s="137">
        <v>6.3494139487507553E-7</v>
      </c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</row>
    <row r="75" spans="6:34">
      <c r="F75" s="136" t="s">
        <v>35</v>
      </c>
      <c r="G75" s="116">
        <v>7.8951093920234777E-2</v>
      </c>
      <c r="H75" s="116">
        <v>5.0050977404186132E-2</v>
      </c>
      <c r="I75" s="116">
        <v>1.5774136293616419</v>
      </c>
      <c r="J75" s="116">
        <v>0.25542602042334728</v>
      </c>
      <c r="K75" s="116">
        <v>-0.13640088063451541</v>
      </c>
      <c r="L75" s="116">
        <v>0.294303068474985</v>
      </c>
      <c r="M75" s="116">
        <v>-0.13640088063451541</v>
      </c>
      <c r="N75" s="137">
        <v>0.294303068474985</v>
      </c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</row>
    <row r="76" spans="6:34" ht="15" thickBot="1">
      <c r="F76" s="140" t="s">
        <v>22</v>
      </c>
      <c r="G76" s="118">
        <v>0.63309184977278965</v>
      </c>
      <c r="H76" s="118">
        <v>0.18486240211991464</v>
      </c>
      <c r="I76" s="118">
        <v>3.4246652781354756</v>
      </c>
      <c r="J76" s="118">
        <v>7.5707903098202634E-2</v>
      </c>
      <c r="K76" s="118">
        <v>-0.16230686933650418</v>
      </c>
      <c r="L76" s="118">
        <v>1.4284905688820835</v>
      </c>
      <c r="M76" s="118">
        <v>-0.16230686933650418</v>
      </c>
      <c r="N76" s="228">
        <v>1.4284905688820835</v>
      </c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</row>
    <row r="77" spans="6:34">
      <c r="F77" s="136"/>
      <c r="G77" s="116"/>
      <c r="H77" s="116"/>
      <c r="I77" s="116"/>
      <c r="J77" s="116"/>
      <c r="K77" s="116"/>
      <c r="L77" s="116"/>
      <c r="M77" s="116"/>
      <c r="N77" s="137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</row>
    <row r="78" spans="6:34">
      <c r="F78" s="136"/>
      <c r="G78" s="116"/>
      <c r="H78" s="116"/>
      <c r="I78" s="116"/>
      <c r="J78" s="116"/>
      <c r="K78" s="116"/>
      <c r="L78" s="116"/>
      <c r="M78" s="116"/>
      <c r="N78" s="137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</row>
    <row r="79" spans="6:34">
      <c r="F79" s="136"/>
      <c r="G79" s="116"/>
      <c r="H79" s="116"/>
      <c r="I79" s="116"/>
      <c r="J79" s="116"/>
      <c r="K79" s="116"/>
      <c r="L79" s="116"/>
      <c r="M79" s="116"/>
      <c r="N79" s="137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</row>
    <row r="80" spans="6:34">
      <c r="F80" s="215" t="s">
        <v>80</v>
      </c>
      <c r="G80" s="116"/>
      <c r="H80" s="116"/>
      <c r="I80" s="116"/>
      <c r="J80" s="116"/>
      <c r="K80" s="116"/>
      <c r="L80" s="116"/>
      <c r="M80" s="116"/>
      <c r="N80" s="137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</row>
    <row r="81" spans="6:34">
      <c r="F81" s="136"/>
      <c r="G81" s="116"/>
      <c r="H81" s="116"/>
      <c r="I81" s="116"/>
      <c r="J81" s="116"/>
      <c r="K81" s="116"/>
      <c r="L81" s="116"/>
      <c r="M81" s="116"/>
      <c r="N81" s="137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</row>
    <row r="82" spans="6:34">
      <c r="F82" s="216" t="s">
        <v>81</v>
      </c>
      <c r="G82" s="213" t="s">
        <v>82</v>
      </c>
      <c r="H82" s="116" t="s">
        <v>79</v>
      </c>
      <c r="I82" s="116"/>
      <c r="J82" s="116"/>
      <c r="K82" s="116"/>
      <c r="L82" s="116"/>
      <c r="M82" s="116"/>
      <c r="N82" s="137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</row>
    <row r="83" spans="6:34">
      <c r="F83" s="136">
        <v>1</v>
      </c>
      <c r="G83" s="116">
        <v>3.4039220428886699E-2</v>
      </c>
      <c r="H83" s="116">
        <v>4.6108159909940619E-3</v>
      </c>
      <c r="I83" s="116"/>
      <c r="J83" s="116"/>
      <c r="K83" s="116"/>
      <c r="L83" s="116"/>
      <c r="M83" s="116"/>
      <c r="N83" s="137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</row>
    <row r="84" spans="6:34">
      <c r="F84" s="136">
        <v>2</v>
      </c>
      <c r="G84" s="116">
        <v>3.1875270669994238E-2</v>
      </c>
      <c r="H84" s="116">
        <v>9.0495676096422062E-4</v>
      </c>
      <c r="I84" s="116"/>
      <c r="J84" s="116"/>
      <c r="K84" s="116"/>
      <c r="L84" s="116"/>
      <c r="M84" s="116"/>
      <c r="N84" s="137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</row>
    <row r="85" spans="6:34">
      <c r="F85" s="136">
        <v>3</v>
      </c>
      <c r="G85" s="116">
        <v>8.6807579095639492E-2</v>
      </c>
      <c r="H85" s="116">
        <v>-1.6247344393630764E-3</v>
      </c>
      <c r="I85" s="116"/>
      <c r="J85" s="116"/>
      <c r="K85" s="116"/>
      <c r="L85" s="116"/>
      <c r="M85" s="116"/>
      <c r="N85" s="137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</row>
    <row r="86" spans="6:34">
      <c r="F86" s="136">
        <v>4</v>
      </c>
      <c r="G86" s="116">
        <v>0.14082653234995066</v>
      </c>
      <c r="H86" s="116">
        <v>1.6810320410987067E-4</v>
      </c>
      <c r="I86" s="116"/>
      <c r="J86" s="116"/>
      <c r="K86" s="116"/>
      <c r="L86" s="116"/>
      <c r="M86" s="116"/>
      <c r="N86" s="137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</row>
    <row r="87" spans="6:34">
      <c r="F87" s="136">
        <v>5</v>
      </c>
      <c r="G87" s="116">
        <v>5.4736098699113264E-2</v>
      </c>
      <c r="H87" s="116">
        <v>8.6699921459690993E-4</v>
      </c>
      <c r="I87" s="116"/>
      <c r="J87" s="116"/>
      <c r="K87" s="116"/>
      <c r="L87" s="116"/>
      <c r="M87" s="116"/>
      <c r="N87" s="137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</row>
    <row r="88" spans="6:34">
      <c r="F88" s="140">
        <v>6</v>
      </c>
      <c r="G88" s="141">
        <v>2.352442052213722E-2</v>
      </c>
      <c r="H88" s="141">
        <v>-4.926140731302011E-3</v>
      </c>
      <c r="I88" s="141"/>
      <c r="J88" s="141"/>
      <c r="K88" s="141"/>
      <c r="L88" s="141"/>
      <c r="M88" s="141"/>
      <c r="N88" s="142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</row>
    <row r="89" spans="6:34"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</row>
    <row r="90" spans="6:34"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</row>
    <row r="91" spans="6:34"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</row>
    <row r="92" spans="6:34"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</row>
    <row r="93" spans="6:34"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</row>
    <row r="94" spans="6:34"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</row>
    <row r="95" spans="6:34"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</row>
    <row r="96" spans="6:34"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</row>
    <row r="97" spans="6:35"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</row>
    <row r="98" spans="6:35"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</row>
    <row r="99" spans="6:35"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</row>
    <row r="100" spans="6:35"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</row>
    <row r="101" spans="6:35"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</row>
    <row r="103" spans="6:35">
      <c r="F103" s="217" t="s">
        <v>60</v>
      </c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</row>
    <row r="104" spans="6:35" ht="15" thickBot="1">
      <c r="F104" s="218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</row>
    <row r="105" spans="6:35">
      <c r="F105" s="218" t="s">
        <v>61</v>
      </c>
      <c r="G105" s="182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</row>
    <row r="106" spans="6:35">
      <c r="F106" s="218" t="s">
        <v>62</v>
      </c>
      <c r="G106" s="181">
        <v>0.95257947509598939</v>
      </c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</row>
    <row r="107" spans="6:35">
      <c r="F107" s="218" t="s">
        <v>63</v>
      </c>
      <c r="G107" s="181">
        <v>0.90740765637415066</v>
      </c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</row>
    <row r="108" spans="6:35">
      <c r="F108" s="218" t="s">
        <v>64</v>
      </c>
      <c r="G108" s="181">
        <v>0.76851914093537665</v>
      </c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</row>
    <row r="109" spans="6:35">
      <c r="F109" s="218" t="s">
        <v>65</v>
      </c>
      <c r="G109" s="181">
        <v>5.1337898377438421E-2</v>
      </c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</row>
    <row r="110" spans="6:35" ht="15" thickBot="1">
      <c r="F110" s="219" t="s">
        <v>66</v>
      </c>
      <c r="G110" s="183">
        <v>6</v>
      </c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</row>
    <row r="111" spans="6:35"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</row>
    <row r="112" spans="6:35" ht="15" thickBot="1">
      <c r="F112" s="218" t="s">
        <v>67</v>
      </c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</row>
    <row r="113" spans="6:35">
      <c r="F113" s="220"/>
      <c r="G113" s="184" t="s">
        <v>42</v>
      </c>
      <c r="H113" s="184" t="s">
        <v>43</v>
      </c>
      <c r="I113" s="184" t="s">
        <v>44</v>
      </c>
      <c r="J113" s="184" t="s">
        <v>45</v>
      </c>
      <c r="K113" s="221" t="s">
        <v>68</v>
      </c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</row>
    <row r="114" spans="6:35">
      <c r="F114" s="222" t="s">
        <v>69</v>
      </c>
      <c r="G114" s="181">
        <v>3</v>
      </c>
      <c r="H114" s="181">
        <v>5.1657517344469862E-2</v>
      </c>
      <c r="I114" s="181">
        <v>1.7219172448156621E-2</v>
      </c>
      <c r="J114" s="181">
        <v>6.5333526930393431</v>
      </c>
      <c r="K114" s="181">
        <v>0.13562209099302969</v>
      </c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</row>
    <row r="115" spans="6:35">
      <c r="F115" s="222" t="s">
        <v>70</v>
      </c>
      <c r="G115" s="181">
        <v>2</v>
      </c>
      <c r="H115" s="181">
        <v>5.2711596196243892E-3</v>
      </c>
      <c r="I115" s="181">
        <v>2.6355798098121946E-3</v>
      </c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</row>
    <row r="116" spans="6:35" ht="15" thickBot="1">
      <c r="F116" s="222" t="s">
        <v>71</v>
      </c>
      <c r="G116" s="183">
        <v>5</v>
      </c>
      <c r="H116" s="183">
        <v>5.6928676964094253E-2</v>
      </c>
      <c r="I116" s="183"/>
      <c r="J116" s="183"/>
      <c r="K116" s="183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</row>
    <row r="117" spans="6:35" ht="15" thickBot="1"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</row>
    <row r="118" spans="6:35">
      <c r="F118" s="184"/>
      <c r="G118" s="223" t="s">
        <v>72</v>
      </c>
      <c r="H118" s="223" t="s">
        <v>65</v>
      </c>
      <c r="I118" s="223" t="s">
        <v>46</v>
      </c>
      <c r="J118" s="223" t="s">
        <v>73</v>
      </c>
      <c r="K118" s="223" t="s">
        <v>74</v>
      </c>
      <c r="L118" s="223" t="s">
        <v>75</v>
      </c>
      <c r="M118" s="223" t="s">
        <v>76</v>
      </c>
      <c r="N118" s="224" t="s">
        <v>77</v>
      </c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</row>
    <row r="119" spans="6:35">
      <c r="F119" s="222" t="s">
        <v>78</v>
      </c>
      <c r="G119" s="181">
        <v>-3.0286952554685997E-2</v>
      </c>
      <c r="H119" s="181">
        <v>0.10588333832205853</v>
      </c>
      <c r="I119" s="181">
        <v>-0.28604077879150475</v>
      </c>
      <c r="J119" s="181">
        <v>0.80175308685300162</v>
      </c>
      <c r="K119" s="181">
        <v>-0.48586618722107711</v>
      </c>
      <c r="L119" s="181">
        <v>0.42529228211170511</v>
      </c>
      <c r="M119" s="181">
        <v>-0.48586618722107711</v>
      </c>
      <c r="N119" s="181">
        <v>0.42529228211170511</v>
      </c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</row>
    <row r="120" spans="6:35">
      <c r="F120" s="218" t="s">
        <v>1</v>
      </c>
      <c r="G120" s="181">
        <v>6.4851236775276102E-6</v>
      </c>
      <c r="H120" s="181">
        <v>6.642915403025754E-5</v>
      </c>
      <c r="I120" s="181">
        <v>9.7624661523970757E-2</v>
      </c>
      <c r="J120" s="181">
        <v>0.93113283073306852</v>
      </c>
      <c r="K120" s="181">
        <v>-2.7933645724570759E-4</v>
      </c>
      <c r="L120" s="181">
        <v>2.9230670460076282E-4</v>
      </c>
      <c r="M120" s="181">
        <v>-2.7933645724570759E-4</v>
      </c>
      <c r="N120" s="181">
        <v>2.9230670460076282E-4</v>
      </c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</row>
    <row r="121" spans="6:35">
      <c r="F121" s="218" t="s">
        <v>35</v>
      </c>
      <c r="G121" s="181">
        <v>-2.1738275911048398E-2</v>
      </c>
      <c r="H121" s="181">
        <v>0.16313740881183594</v>
      </c>
      <c r="I121" s="181">
        <v>-0.1332513251826962</v>
      </c>
      <c r="J121" s="181">
        <v>0.90619257341412207</v>
      </c>
      <c r="K121" s="181">
        <v>-0.72366189325954855</v>
      </c>
      <c r="L121" s="181">
        <v>0.6801853414374518</v>
      </c>
      <c r="M121" s="181">
        <v>-0.72366189325954855</v>
      </c>
      <c r="N121" s="181">
        <v>0.6801853414374518</v>
      </c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</row>
    <row r="122" spans="6:35" ht="15" thickBot="1">
      <c r="F122" s="225" t="s">
        <v>22</v>
      </c>
      <c r="G122" s="183">
        <v>1.031144804584782</v>
      </c>
      <c r="H122" s="183">
        <v>0.3681264319524073</v>
      </c>
      <c r="I122" s="183">
        <v>2.8010615785342252</v>
      </c>
      <c r="J122" s="183">
        <v>0.10732384854219279</v>
      </c>
      <c r="K122" s="183">
        <v>-0.55277539274817356</v>
      </c>
      <c r="L122" s="183">
        <v>2.6150650019177375</v>
      </c>
      <c r="M122" s="183">
        <v>-0.55277539274817356</v>
      </c>
      <c r="N122" s="183">
        <v>2.6150650019177375</v>
      </c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</row>
    <row r="123" spans="6:35">
      <c r="F123" s="218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</row>
    <row r="124" spans="6:35">
      <c r="F124" s="218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</row>
    <row r="125" spans="6:35">
      <c r="F125" s="218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</row>
    <row r="126" spans="6:35">
      <c r="F126" s="226" t="s">
        <v>80</v>
      </c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</row>
    <row r="127" spans="6:35">
      <c r="F127" s="218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</row>
    <row r="128" spans="6:35">
      <c r="F128" s="227" t="s">
        <v>81</v>
      </c>
      <c r="G128" s="223" t="s">
        <v>82</v>
      </c>
      <c r="H128" s="181" t="s">
        <v>79</v>
      </c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</row>
    <row r="129" spans="6:35">
      <c r="F129" s="181">
        <v>1</v>
      </c>
      <c r="G129" s="181">
        <v>0.33872839603843552</v>
      </c>
      <c r="H129" s="181">
        <v>-2.4068594893786321E-3</v>
      </c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</row>
    <row r="130" spans="6:35">
      <c r="F130" s="181">
        <v>2</v>
      </c>
      <c r="G130" s="181">
        <v>0.5316105635031243</v>
      </c>
      <c r="H130" s="181">
        <v>6.1244607502799475E-3</v>
      </c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</row>
    <row r="131" spans="6:35">
      <c r="F131" s="181">
        <v>3</v>
      </c>
      <c r="G131" s="181">
        <v>0.22684516969362395</v>
      </c>
      <c r="H131" s="181">
        <v>8.366028137426762E-3</v>
      </c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</row>
    <row r="132" spans="6:35">
      <c r="F132" s="181">
        <v>4</v>
      </c>
      <c r="G132" s="181">
        <v>0.39582605801489412</v>
      </c>
      <c r="H132" s="181">
        <v>-3.2085002183128486E-2</v>
      </c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</row>
    <row r="133" spans="6:35">
      <c r="F133" s="181">
        <v>5</v>
      </c>
      <c r="G133" s="181">
        <v>0.42539757093295472</v>
      </c>
      <c r="H133" s="181">
        <v>-3.4318566641779069E-2</v>
      </c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</row>
    <row r="134" spans="6:35" ht="15" thickBot="1">
      <c r="F134" s="183">
        <v>6</v>
      </c>
      <c r="G134" s="183">
        <v>0.42269497382479371</v>
      </c>
      <c r="H134" s="183">
        <v>5.4319939426579367E-2</v>
      </c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</row>
    <row r="135" spans="6:35"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</row>
    <row r="136" spans="6:35"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</row>
    <row r="137" spans="6:35"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</row>
    <row r="138" spans="6:35"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</row>
    <row r="139" spans="6:35"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</row>
    <row r="140" spans="6:35"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</row>
    <row r="141" spans="6:35"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</row>
    <row r="142" spans="6:35"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</row>
    <row r="143" spans="6:35"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</row>
    <row r="144" spans="6:35"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</row>
    <row r="145" spans="6:35"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</row>
    <row r="146" spans="6:35"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</row>
    <row r="147" spans="6:35"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</row>
    <row r="148" spans="6:35"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</row>
    <row r="149" spans="6:35"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</row>
    <row r="150" spans="6:35"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</row>
    <row r="151" spans="6:35"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7A18-E3CE-4BE3-964F-BE984BE24F9F}">
  <dimension ref="B2:P24"/>
  <sheetViews>
    <sheetView topLeftCell="A9" workbookViewId="0">
      <selection activeCell="B16" sqref="B16"/>
    </sheetView>
  </sheetViews>
  <sheetFormatPr defaultRowHeight="14.4"/>
  <cols>
    <col min="4" max="4" width="13.109375" bestFit="1" customWidth="1"/>
    <col min="5" max="5" width="18.5546875" bestFit="1" customWidth="1"/>
    <col min="7" max="7" width="11.5546875" bestFit="1" customWidth="1"/>
    <col min="8" max="8" width="11" bestFit="1" customWidth="1"/>
    <col min="9" max="9" width="8.88671875" customWidth="1"/>
    <col min="10" max="10" width="11.6640625" customWidth="1"/>
    <col min="11" max="11" width="9.88671875" customWidth="1"/>
    <col min="12" max="12" width="15.109375" customWidth="1"/>
    <col min="13" max="13" width="14" customWidth="1"/>
    <col min="14" max="14" width="13.5546875" customWidth="1"/>
    <col min="15" max="15" width="14" customWidth="1"/>
    <col min="16" max="16" width="14.6640625" bestFit="1" customWidth="1"/>
  </cols>
  <sheetData>
    <row r="2" spans="2:16">
      <c r="B2" s="15" t="s">
        <v>12</v>
      </c>
      <c r="C2" t="s">
        <v>18</v>
      </c>
      <c r="D2" s="3" t="s">
        <v>1</v>
      </c>
      <c r="E2" s="3" t="s">
        <v>2</v>
      </c>
      <c r="F2" s="3" t="s">
        <v>4</v>
      </c>
      <c r="G2" s="3" t="s">
        <v>6</v>
      </c>
      <c r="H2" s="3" t="s">
        <v>56</v>
      </c>
      <c r="L2" t="s">
        <v>58</v>
      </c>
    </row>
    <row r="3" spans="2:16" ht="23.25" customHeight="1">
      <c r="C3" s="4">
        <v>2019</v>
      </c>
      <c r="D3" s="144">
        <v>8755</v>
      </c>
      <c r="E3" s="145">
        <v>7696</v>
      </c>
      <c r="F3" s="93">
        <v>442</v>
      </c>
      <c r="G3" s="10">
        <v>7906</v>
      </c>
      <c r="H3" s="161">
        <f>F3/G3</f>
        <v>5.590690614722995E-2</v>
      </c>
      <c r="K3" s="187" t="s">
        <v>12</v>
      </c>
      <c r="L3" s="185">
        <v>-0.1</v>
      </c>
      <c r="M3" s="185">
        <v>-0.05</v>
      </c>
      <c r="N3" s="185">
        <v>0</v>
      </c>
      <c r="O3" s="185">
        <v>0.05</v>
      </c>
      <c r="P3" s="185">
        <v>0.1</v>
      </c>
    </row>
    <row r="4" spans="2:16" ht="36.75" customHeight="1">
      <c r="C4" s="5">
        <v>2020</v>
      </c>
      <c r="D4" s="144">
        <v>9899</v>
      </c>
      <c r="E4" s="145">
        <v>8655</v>
      </c>
      <c r="F4" s="93">
        <v>421</v>
      </c>
      <c r="G4" s="12">
        <v>9606</v>
      </c>
      <c r="H4" s="161">
        <f t="shared" ref="H4:H22" si="0">F4/G4</f>
        <v>4.3826774932333959E-2</v>
      </c>
      <c r="J4" s="257" t="s">
        <v>57</v>
      </c>
      <c r="K4" s="186">
        <v>-0.1</v>
      </c>
      <c r="L4" s="160">
        <f>($D$8*0.9-$E$8*0.9)/$G$8</f>
        <v>0.11699331466773337</v>
      </c>
      <c r="M4" s="160">
        <f>($D$8*0.95-$E$8*0.9)/$G$8</f>
        <v>0.1746871607336723</v>
      </c>
      <c r="N4" s="160">
        <f>($D$8-$E$8*0.9)/$G$8</f>
        <v>0.23238100679961143</v>
      </c>
      <c r="O4" s="160">
        <f>($D$8*1.05-$E$8*0.9)/$G$8</f>
        <v>0.29007485286555057</v>
      </c>
      <c r="P4" s="160">
        <f>($D$8*1.1-$E$8*0.9)/$G$8</f>
        <v>0.34776869893148971</v>
      </c>
    </row>
    <row r="5" spans="2:16" ht="41.25" customHeight="1">
      <c r="C5" s="6">
        <v>2021</v>
      </c>
      <c r="D5" s="144">
        <v>7848</v>
      </c>
      <c r="E5" s="144">
        <v>8092</v>
      </c>
      <c r="F5" s="146">
        <v>-190</v>
      </c>
      <c r="G5" s="10">
        <v>10354</v>
      </c>
      <c r="H5" s="161">
        <f t="shared" si="0"/>
        <v>-1.8350395982229092E-2</v>
      </c>
      <c r="J5" s="257"/>
      <c r="K5" s="186">
        <v>-0.05</v>
      </c>
      <c r="L5" s="160">
        <f>($D$8*0.9-$E$8*0.95)/$G$8</f>
        <v>6.5799097194446196E-2</v>
      </c>
      <c r="M5" s="160">
        <f>($D$8*0.95-$E$8*0.95)/$G$8</f>
        <v>0.12349294326038512</v>
      </c>
      <c r="N5" s="160">
        <f>($D$8-$E$8*0.95)/$G$8</f>
        <v>0.18118678932632426</v>
      </c>
      <c r="O5" s="160">
        <f>($D$8*1.05-$E$8*0.95)/$G$8</f>
        <v>0.2388806353922634</v>
      </c>
      <c r="P5" s="160">
        <f>($D$8*1.1-$E$8*0.95)/$G$8</f>
        <v>0.29657448145820253</v>
      </c>
    </row>
    <row r="6" spans="2:16" ht="39.75" customHeight="1">
      <c r="C6" s="7">
        <v>2022</v>
      </c>
      <c r="D6" s="144">
        <v>14029</v>
      </c>
      <c r="E6" s="144">
        <v>10011</v>
      </c>
      <c r="F6" s="93">
        <v>953</v>
      </c>
      <c r="G6" s="12">
        <v>14135</v>
      </c>
      <c r="H6" s="161">
        <f>F6/G6</f>
        <v>6.7421294658648739E-2</v>
      </c>
      <c r="J6" s="188"/>
      <c r="K6" s="186">
        <v>0</v>
      </c>
      <c r="L6" s="160">
        <f>($D$8*0.9-$E$8)/$G$8</f>
        <v>1.4604879721158915E-2</v>
      </c>
      <c r="M6" s="160">
        <f>($D$8*0.95-$E$8)/$G$8</f>
        <v>7.2298725787097839E-2</v>
      </c>
      <c r="N6" s="160">
        <f>($D$8-$E$8)/$G$8</f>
        <v>0.12999257185303698</v>
      </c>
      <c r="O6" s="160">
        <f>($D$8*1.05-$E$8)/$G$8</f>
        <v>0.18768641791897611</v>
      </c>
      <c r="P6" s="160">
        <f>($D$8*1.1-$E$8)/$G$8</f>
        <v>0.24538026398491522</v>
      </c>
    </row>
    <row r="7" spans="2:16" ht="43.5" customHeight="1">
      <c r="C7" s="8">
        <v>2023</v>
      </c>
      <c r="D7" s="144">
        <v>17406</v>
      </c>
      <c r="E7" s="145">
        <v>15190</v>
      </c>
      <c r="F7" s="144">
        <v>1612</v>
      </c>
      <c r="G7" s="12">
        <v>13802</v>
      </c>
      <c r="H7" s="161">
        <f t="shared" si="0"/>
        <v>0.11679466743950152</v>
      </c>
      <c r="J7" s="188"/>
      <c r="K7" s="186">
        <v>0.05</v>
      </c>
      <c r="L7" s="160">
        <f>($D$8*0.9-$E$8*1.05)/$G$8</f>
        <v>-3.6589337752128366E-2</v>
      </c>
      <c r="M7" s="160">
        <f>($D$8*0.95-$E$8*1.05)/$G$8</f>
        <v>2.1104508313810555E-2</v>
      </c>
      <c r="N7" s="160">
        <f>($D$8-$E$8*1.05)/$G$8</f>
        <v>7.8798354379749691E-2</v>
      </c>
      <c r="O7" s="160">
        <f>($D$8*1.05-$E$8*1.05)/$G$8</f>
        <v>0.13649220044568883</v>
      </c>
      <c r="P7" s="160">
        <f>($D$8*1.1-$E$8*1.05)/$G$8</f>
        <v>0.19418604651162794</v>
      </c>
    </row>
    <row r="8" spans="2:16" ht="40.5" customHeight="1">
      <c r="C8" s="9">
        <v>2024</v>
      </c>
      <c r="D8" s="145">
        <v>20194</v>
      </c>
      <c r="E8" s="145">
        <v>17919</v>
      </c>
      <c r="F8" s="149">
        <v>1747</v>
      </c>
      <c r="G8">
        <v>17501</v>
      </c>
      <c r="H8" s="161">
        <f t="shared" si="0"/>
        <v>9.9822867264727735E-2</v>
      </c>
      <c r="J8" s="188"/>
      <c r="K8" s="186">
        <v>0.1</v>
      </c>
      <c r="L8" s="160">
        <f>($D$8*0.9-$E$8*1.1)/$G$8</f>
        <v>-8.7783555225415644E-2</v>
      </c>
      <c r="M8" s="160">
        <f>($D$8*0.95-$E$8*1.1)/$G$8</f>
        <v>-3.0089709159476726E-2</v>
      </c>
      <c r="N8" s="160">
        <f>($D$8-$E$8*1.1)/$G$8</f>
        <v>2.7604136906462403E-2</v>
      </c>
      <c r="O8" s="160">
        <f>($D$8*1.05-$E$8*1.1)/$G$8</f>
        <v>8.5297982972401529E-2</v>
      </c>
      <c r="P8" s="160">
        <f>($D$8*1.1-$E$8*1.1)/$G$8</f>
        <v>0.14299182903834068</v>
      </c>
    </row>
    <row r="9" spans="2:16" ht="40.5" customHeight="1">
      <c r="B9" s="16" t="s">
        <v>15</v>
      </c>
      <c r="D9" s="150" t="s">
        <v>1</v>
      </c>
      <c r="E9" s="150" t="s">
        <v>2</v>
      </c>
      <c r="F9" s="150" t="s">
        <v>4</v>
      </c>
      <c r="G9" s="3" t="s">
        <v>6</v>
      </c>
      <c r="H9" s="160"/>
    </row>
    <row r="10" spans="2:16">
      <c r="C10" s="4">
        <v>2019</v>
      </c>
      <c r="D10" s="146">
        <v>111203</v>
      </c>
      <c r="E10" s="146">
        <v>1717</v>
      </c>
      <c r="F10" s="146">
        <v>4298</v>
      </c>
      <c r="G10">
        <v>71202</v>
      </c>
      <c r="H10" s="160">
        <f t="shared" si="0"/>
        <v>6.0363472936153476E-2</v>
      </c>
      <c r="L10" t="s">
        <v>58</v>
      </c>
    </row>
    <row r="11" spans="2:16">
      <c r="C11" s="5">
        <v>2020</v>
      </c>
      <c r="D11" s="146">
        <v>86180</v>
      </c>
      <c r="E11" s="146">
        <v>6226</v>
      </c>
      <c r="F11" s="146">
        <v>2825</v>
      </c>
      <c r="G11">
        <v>84048</v>
      </c>
      <c r="H11" s="160">
        <f t="shared" si="0"/>
        <v>3.3611745669141442E-2</v>
      </c>
      <c r="K11" s="187" t="s">
        <v>15</v>
      </c>
      <c r="L11" s="185">
        <v>-0.1</v>
      </c>
      <c r="M11" s="185">
        <v>-0.05</v>
      </c>
      <c r="N11" s="185">
        <v>0</v>
      </c>
      <c r="O11" s="185">
        <v>0.05</v>
      </c>
      <c r="P11" s="185">
        <v>0.1</v>
      </c>
    </row>
    <row r="12" spans="2:16" ht="30.75" customHeight="1">
      <c r="C12" s="6">
        <v>2021</v>
      </c>
      <c r="D12" s="146">
        <v>131341</v>
      </c>
      <c r="E12" s="146">
        <v>15940</v>
      </c>
      <c r="F12" s="146">
        <v>11188</v>
      </c>
      <c r="G12">
        <v>106754</v>
      </c>
      <c r="H12" s="160">
        <f t="shared" si="0"/>
        <v>0.10480169361335406</v>
      </c>
      <c r="J12" s="257" t="s">
        <v>57</v>
      </c>
      <c r="K12" s="186">
        <v>-0.1</v>
      </c>
      <c r="L12" s="160">
        <f>($D$15*0.9-$E$15*0.9)/$G$15</f>
        <v>0.52585036418923703</v>
      </c>
      <c r="M12" s="160">
        <f>($D$15*0.95-$E$15*0.9)/$G$15</f>
        <v>0.55567734483652731</v>
      </c>
      <c r="N12" s="160">
        <f>($D$15-$E$15*0.9)/$G$15</f>
        <v>0.58550432548381781</v>
      </c>
      <c r="O12" s="160">
        <f>($D$15*1.05-$E$15*0.9)/$G$15</f>
        <v>0.6153313061311082</v>
      </c>
      <c r="P12" s="160">
        <f>($D$15*1.1-$E$15*0.9)/$G$15</f>
        <v>0.64515828677839859</v>
      </c>
    </row>
    <row r="13" spans="2:16" ht="39.75" customHeight="1">
      <c r="C13" s="7">
        <v>2022</v>
      </c>
      <c r="D13" s="146">
        <v>282415</v>
      </c>
      <c r="E13" s="146">
        <v>11020</v>
      </c>
      <c r="F13" s="146">
        <v>39819</v>
      </c>
      <c r="G13">
        <v>313177</v>
      </c>
      <c r="H13" s="160">
        <f t="shared" si="0"/>
        <v>0.12714535230875831</v>
      </c>
      <c r="J13" s="257"/>
      <c r="K13" s="186">
        <v>-0.05</v>
      </c>
      <c r="L13" s="160">
        <f>($D$15*0.9-$E$15*0.95)/$G$15</f>
        <v>0.52523729266357089</v>
      </c>
      <c r="M13" s="160">
        <f>($D$15*0.95-$E$15*0.95)/$G$15</f>
        <v>0.55506427331086117</v>
      </c>
      <c r="N13" s="160">
        <f>($D$15-$E$15*0.95)/$G$15</f>
        <v>0.58489125395815156</v>
      </c>
      <c r="O13" s="160">
        <f>($D$15*1.05-$E$15*0.95)/$G$15</f>
        <v>0.61471823460544195</v>
      </c>
      <c r="P13" s="160">
        <f>($D$15*1.1-$E$15*0.95)/$G$15</f>
        <v>0.64454521525273245</v>
      </c>
    </row>
    <row r="14" spans="2:16" ht="39" customHeight="1">
      <c r="C14" s="8">
        <v>2023</v>
      </c>
      <c r="D14" s="146">
        <v>372767</v>
      </c>
      <c r="E14" s="146">
        <v>25583</v>
      </c>
      <c r="F14" s="146">
        <v>20727</v>
      </c>
      <c r="G14">
        <v>264178</v>
      </c>
      <c r="H14" s="160">
        <f t="shared" si="0"/>
        <v>7.8458463611655774E-2</v>
      </c>
      <c r="J14" s="188"/>
      <c r="K14" s="186">
        <v>0</v>
      </c>
      <c r="L14" s="160">
        <f>($D$15*0.9-$E$15)/$G$15</f>
        <v>0.52462422113790486</v>
      </c>
      <c r="M14" s="160">
        <f>($D$15*0.95-$E$15)/$G$15</f>
        <v>0.55445120178519514</v>
      </c>
      <c r="N14" s="160">
        <f>($D$15-$E$15)/$G$15</f>
        <v>0.58427818243248553</v>
      </c>
      <c r="O14" s="160">
        <f>($D$15*1.05-$E$15)/$G$15</f>
        <v>0.61410516307977592</v>
      </c>
      <c r="P14" s="160">
        <f>($D$15*1.1-$E$15)/$G$15</f>
        <v>0.64393214372706631</v>
      </c>
    </row>
    <row r="15" spans="2:16" ht="34.5" customHeight="1">
      <c r="C15" s="9">
        <v>2024</v>
      </c>
      <c r="D15" s="146">
        <v>151842</v>
      </c>
      <c r="E15" s="146">
        <v>3121</v>
      </c>
      <c r="F15" s="146">
        <f>2798+26</f>
        <v>2824</v>
      </c>
      <c r="G15">
        <v>254538</v>
      </c>
      <c r="H15" s="160">
        <f t="shared" si="0"/>
        <v>1.1094610627882674E-2</v>
      </c>
      <c r="J15" s="188"/>
      <c r="K15" s="186">
        <v>0.05</v>
      </c>
      <c r="L15" s="160">
        <f>($D$15*0.9-$E$15*1.05)/$G$15</f>
        <v>0.52401114961223871</v>
      </c>
      <c r="M15" s="160">
        <f>($D$15*0.95-$E$15*1.05)/$G$15</f>
        <v>0.5538381302595291</v>
      </c>
      <c r="N15" s="160">
        <f>($D$15-$E$15*1.05)/$G$15</f>
        <v>0.5836651109068195</v>
      </c>
      <c r="O15" s="160">
        <f>($D$15*1.05-$E$15*1.05)/$G$15</f>
        <v>0.61349209155410989</v>
      </c>
      <c r="P15" s="160">
        <f>($D$15*1.1-$E$15*1.05)/$G$15</f>
        <v>0.64331907220140028</v>
      </c>
    </row>
    <row r="16" spans="2:16" ht="32.25" customHeight="1">
      <c r="B16" s="17" t="s">
        <v>16</v>
      </c>
      <c r="D16" s="150" t="s">
        <v>1</v>
      </c>
      <c r="E16" s="150" t="s">
        <v>2</v>
      </c>
      <c r="F16" s="150" t="s">
        <v>4</v>
      </c>
      <c r="G16" s="3" t="s">
        <v>6</v>
      </c>
      <c r="H16" s="160"/>
      <c r="J16" s="188"/>
      <c r="K16" s="186">
        <v>0.1</v>
      </c>
      <c r="L16" s="160">
        <f>($D$15*0.9-$E$15*1.1)/$G$15</f>
        <v>0.52339807808657257</v>
      </c>
      <c r="M16" s="160">
        <f>($D$15*0.95-$E$15*1.1)/$G$15</f>
        <v>0.55322505873386285</v>
      </c>
      <c r="N16" s="160">
        <f>($D$15-$E$15*1.1)/$G$15</f>
        <v>0.58305203938115324</v>
      </c>
      <c r="O16" s="160">
        <f>($D$15*1.05-$E$15*1.1)/$G$15</f>
        <v>0.61287902002844374</v>
      </c>
      <c r="P16" s="160">
        <f>($D$15*1.1-$E$15*1.1)/$G$15</f>
        <v>0.64270600067573413</v>
      </c>
    </row>
    <row r="17" spans="3:16">
      <c r="C17" s="4">
        <v>2019</v>
      </c>
      <c r="D17" s="145">
        <f>521272/1000</f>
        <v>521.27200000000005</v>
      </c>
      <c r="E17" s="145">
        <v>187.95699999999999</v>
      </c>
      <c r="F17" s="145">
        <v>175.315</v>
      </c>
      <c r="G17" s="10">
        <v>1404.1079999999999</v>
      </c>
      <c r="H17" s="160">
        <f t="shared" si="0"/>
        <v>0.12485862910830221</v>
      </c>
    </row>
    <row r="18" spans="3:16">
      <c r="C18" s="5">
        <v>2020</v>
      </c>
      <c r="D18" s="145">
        <f>2138875/1000</f>
        <v>2138.875</v>
      </c>
      <c r="E18" s="145">
        <v>498.87200000000001</v>
      </c>
      <c r="F18" s="145">
        <v>1150.1479999999999</v>
      </c>
      <c r="G18" s="10">
        <v>2890.299</v>
      </c>
      <c r="H18" s="160">
        <f t="shared" si="0"/>
        <v>0.39793391617960633</v>
      </c>
      <c r="L18" t="s">
        <v>58</v>
      </c>
    </row>
    <row r="19" spans="3:16">
      <c r="C19" s="6">
        <v>2021</v>
      </c>
      <c r="D19" s="145">
        <f>888172/1000</f>
        <v>888.17200000000003</v>
      </c>
      <c r="E19" s="145">
        <v>422.40499999999997</v>
      </c>
      <c r="F19" s="144">
        <v>208.90799999999999</v>
      </c>
      <c r="G19" s="10">
        <v>2158.7350000000001</v>
      </c>
      <c r="H19" s="160">
        <f t="shared" si="0"/>
        <v>9.6773341795079057E-2</v>
      </c>
      <c r="K19" s="187" t="s">
        <v>16</v>
      </c>
      <c r="L19" s="185">
        <v>-0.1</v>
      </c>
      <c r="M19" s="185">
        <v>-0.05</v>
      </c>
      <c r="N19" s="185">
        <v>0</v>
      </c>
      <c r="O19" s="185">
        <v>0.05</v>
      </c>
      <c r="P19" s="185">
        <v>0.1</v>
      </c>
    </row>
    <row r="20" spans="3:16" ht="33" customHeight="1">
      <c r="C20" s="7">
        <v>2022</v>
      </c>
      <c r="D20" s="152">
        <f>952576/1000</f>
        <v>952.57600000000002</v>
      </c>
      <c r="E20" s="145">
        <v>351.351</v>
      </c>
      <c r="F20" s="145">
        <v>346.49099999999999</v>
      </c>
      <c r="G20" s="10">
        <v>2276.3310000000001</v>
      </c>
      <c r="H20" s="160">
        <f t="shared" si="0"/>
        <v>0.15221468231114016</v>
      </c>
      <c r="J20" s="257" t="s">
        <v>57</v>
      </c>
      <c r="K20" s="186">
        <v>-0.1</v>
      </c>
      <c r="L20" s="160">
        <f>($D$22*0.9-$E$22*0.9)/$G$22</f>
        <v>0.17270166814355925</v>
      </c>
      <c r="M20" s="160">
        <f>($D$22*0.95-$E$22*0.9)/$G$22</f>
        <v>0.18888991146533157</v>
      </c>
      <c r="N20" s="160">
        <f>($D$22-$E$22*0.9)/$G$22</f>
        <v>0.20507815478710398</v>
      </c>
      <c r="O20" s="160">
        <f>($D$22*1.05-$E$22*0.9)/$G$22</f>
        <v>0.22126639810887638</v>
      </c>
      <c r="P20" s="160">
        <f>($D$22*1.1-$E$22*0.9)/$G$22</f>
        <v>0.23745464143064879</v>
      </c>
    </row>
    <row r="21" spans="3:16" ht="28.5" customHeight="1">
      <c r="C21" s="8">
        <v>2023</v>
      </c>
      <c r="D21" s="152">
        <f>1230199/1000</f>
        <v>1230.1990000000001</v>
      </c>
      <c r="E21" s="145">
        <v>434.63900000000001</v>
      </c>
      <c r="F21" s="145">
        <v>481.10500000000002</v>
      </c>
      <c r="G21" s="10">
        <v>2613.4380000000001</v>
      </c>
      <c r="H21" s="160">
        <f t="shared" si="0"/>
        <v>0.18408892807099309</v>
      </c>
      <c r="J21" s="257"/>
      <c r="K21" s="186">
        <v>-0.05</v>
      </c>
      <c r="L21" s="160">
        <f>($D$22*0.9-$E$22*0.95)/$G$22</f>
        <v>0.16610796194087349</v>
      </c>
      <c r="M21" s="160">
        <f>($D$22*0.95-$E$22*0.95)/$G$22</f>
        <v>0.18229620526264578</v>
      </c>
      <c r="N21" s="160">
        <f>($D$22-$E$22*0.95)/$G$22</f>
        <v>0.19848444858441819</v>
      </c>
      <c r="O21" s="160">
        <f>($D$22*1.05-$E$22*0.95)/$G$22</f>
        <v>0.21467269190619059</v>
      </c>
      <c r="P21" s="160">
        <f>($D$22*1.1-$E$22*0.95)/$G$22</f>
        <v>0.230860935227963</v>
      </c>
    </row>
    <row r="22" spans="3:16" ht="42" customHeight="1">
      <c r="C22" s="9">
        <v>2024</v>
      </c>
      <c r="D22" s="152">
        <f>985030/1000</f>
        <v>985.03</v>
      </c>
      <c r="E22" s="145">
        <v>401.21699999999998</v>
      </c>
      <c r="F22" s="145">
        <v>469.87400000000002</v>
      </c>
      <c r="G22" s="10">
        <v>3042.424</v>
      </c>
      <c r="H22" s="160">
        <f t="shared" si="0"/>
        <v>0.1544406696765474</v>
      </c>
      <c r="J22" s="188"/>
      <c r="K22" s="186">
        <v>0</v>
      </c>
      <c r="L22" s="160">
        <f>($D$22*0.9-$E$22)/$G$22</f>
        <v>0.15951425573818773</v>
      </c>
      <c r="M22" s="160">
        <f>($D$22*0.95-$E$22)/$G$22</f>
        <v>0.17570249905996005</v>
      </c>
      <c r="N22" s="160">
        <f>($D$22-$E$22)/$G$22</f>
        <v>0.19189074238173245</v>
      </c>
      <c r="O22" s="160">
        <f>($D$22*1.05-$E$22)/$G$22</f>
        <v>0.20807898570350486</v>
      </c>
      <c r="P22" s="160">
        <f>($D$22*1.1-$E$22)/$G$22</f>
        <v>0.22426722902527726</v>
      </c>
    </row>
    <row r="23" spans="3:16" ht="37.5" customHeight="1">
      <c r="J23" s="188"/>
      <c r="K23" s="186">
        <v>0.05</v>
      </c>
      <c r="L23" s="160">
        <f>($D$22*0.9-$E$22*1.05)/$G$22</f>
        <v>0.15292054953550197</v>
      </c>
      <c r="M23" s="160">
        <f>($D$22*0.95-$E$22*1.05)/$G$22</f>
        <v>0.16910879285727431</v>
      </c>
      <c r="N23" s="160">
        <f>($D$22-$E$22*1.05)/$G$22</f>
        <v>0.18529703617904672</v>
      </c>
      <c r="O23" s="160">
        <f>($D$22*1.05-$E$22*1.05)/$G$22</f>
        <v>0.20148527950081913</v>
      </c>
      <c r="P23" s="160">
        <f>($D$22*1.1-$E$22*1.05)/$G$22</f>
        <v>0.21767352282259153</v>
      </c>
    </row>
    <row r="24" spans="3:16" ht="36.75" customHeight="1">
      <c r="J24" s="188"/>
      <c r="K24" s="186">
        <v>0.1</v>
      </c>
      <c r="L24" s="160">
        <f>($D$22*0.9-$E$22*1.1)/$G$22</f>
        <v>0.1463268433328162</v>
      </c>
      <c r="M24" s="160">
        <f>($D$22*0.95-$E$22*1.1)/$G$22</f>
        <v>0.16251508665458853</v>
      </c>
      <c r="N24" s="160">
        <f>($D$22-$E$22*1.1)/$G$22</f>
        <v>0.17870332997636093</v>
      </c>
      <c r="O24" s="160">
        <f>($D$22*1.05-$E$22*1.1)/$G$22</f>
        <v>0.19489157329813334</v>
      </c>
      <c r="P24" s="160">
        <f>($D$22*1.1-$E$22*1.1)/$G$22</f>
        <v>0.21107981661990574</v>
      </c>
    </row>
  </sheetData>
  <mergeCells count="3">
    <mergeCell ref="J4:J5"/>
    <mergeCell ref="J12:J13"/>
    <mergeCell ref="J20:J21"/>
  </mergeCells>
  <conditionalFormatting sqref="L4:P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P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793-CCE8-47B5-82E8-66AD643A06DB}">
  <dimension ref="B4:L27"/>
  <sheetViews>
    <sheetView workbookViewId="0">
      <selection activeCell="I6" sqref="I6:I11"/>
    </sheetView>
  </sheetViews>
  <sheetFormatPr defaultRowHeight="14.4"/>
  <cols>
    <col min="6" max="6" width="21.44140625" customWidth="1"/>
    <col min="7" max="7" width="22" bestFit="1" customWidth="1"/>
    <col min="8" max="8" width="22.109375" bestFit="1" customWidth="1"/>
    <col min="9" max="9" width="25.5546875" bestFit="1" customWidth="1"/>
    <col min="12" max="12" width="25.5546875" bestFit="1" customWidth="1"/>
  </cols>
  <sheetData>
    <row r="4" spans="2:12">
      <c r="C4" s="15" t="s">
        <v>12</v>
      </c>
    </row>
    <row r="5" spans="2:12">
      <c r="C5" s="189" t="s">
        <v>19</v>
      </c>
      <c r="D5" s="181" t="s">
        <v>20</v>
      </c>
      <c r="E5" s="190" t="s">
        <v>21</v>
      </c>
      <c r="F5" t="str">
        <f>C5&amp;" Standard deviation"</f>
        <v>ROS Standard deviation</v>
      </c>
      <c r="G5" t="str">
        <f>D5&amp;" Standard deviation"</f>
        <v>ROE Standard deviation</v>
      </c>
      <c r="H5" t="str">
        <f>E5&amp;" Standard deviation"</f>
        <v>ROA Standard deviation</v>
      </c>
      <c r="I5" t="s">
        <v>59</v>
      </c>
      <c r="L5" t="s">
        <v>59</v>
      </c>
    </row>
    <row r="6" spans="2:12">
      <c r="B6" s="4">
        <v>2019</v>
      </c>
      <c r="C6" s="160">
        <v>5.0485436893203881E-2</v>
      </c>
      <c r="D6" s="160">
        <v>0.15701598579040851</v>
      </c>
      <c r="E6" s="160">
        <v>5.590690614722995E-2</v>
      </c>
      <c r="F6" s="258">
        <f>_xlfn.STDEV.P(C6:C11)</f>
        <v>3.8711679087048124E-2</v>
      </c>
      <c r="G6" s="258">
        <f>_xlfn.STDEV.P(D6:D11)</f>
        <v>0.1417536706104566</v>
      </c>
      <c r="H6" s="258">
        <f>_xlfn.STDEV.P(E6:E11)</f>
        <v>4.3356625619334205E-2</v>
      </c>
      <c r="I6" s="258">
        <f>AVERAGE(F6:H6)</f>
        <v>7.4607325105612979E-2</v>
      </c>
      <c r="K6" s="15" t="s">
        <v>12</v>
      </c>
      <c r="L6" s="162">
        <f>I6</f>
        <v>7.4607325105612979E-2</v>
      </c>
    </row>
    <row r="7" spans="2:12">
      <c r="B7" s="5">
        <v>2020</v>
      </c>
      <c r="C7" s="160">
        <v>4.2529548439236287E-2</v>
      </c>
      <c r="D7" s="160">
        <v>0.12965814598090544</v>
      </c>
      <c r="E7" s="160">
        <v>4.3826774932333959E-2</v>
      </c>
      <c r="F7" s="258"/>
      <c r="G7" s="258"/>
      <c r="H7" s="258"/>
      <c r="I7" s="258"/>
      <c r="K7" s="191" t="s">
        <v>15</v>
      </c>
      <c r="L7" s="162">
        <f>I14</f>
        <v>5.5814562464788962E-2</v>
      </c>
    </row>
    <row r="8" spans="2:12">
      <c r="B8" s="6">
        <v>2021</v>
      </c>
      <c r="C8" s="160">
        <v>-2.4209989806320081E-2</v>
      </c>
      <c r="D8" s="160">
        <v>-6.1929595827900911E-2</v>
      </c>
      <c r="E8" s="160">
        <v>-1.8350395982229092E-2</v>
      </c>
      <c r="F8" s="258"/>
      <c r="G8" s="258"/>
      <c r="H8" s="258"/>
      <c r="I8" s="258"/>
      <c r="K8" s="195" t="s">
        <v>16</v>
      </c>
      <c r="L8" s="162">
        <f>I22</f>
        <v>0.11169881266675367</v>
      </c>
    </row>
    <row r="9" spans="2:12">
      <c r="B9" s="7">
        <v>2022</v>
      </c>
      <c r="C9" s="160">
        <v>6.7930714947608523E-2</v>
      </c>
      <c r="D9" s="160">
        <v>0.29125916870415647</v>
      </c>
      <c r="E9" s="160">
        <v>6.7421294658648739E-2</v>
      </c>
      <c r="F9" s="258"/>
      <c r="G9" s="258"/>
      <c r="H9" s="258"/>
      <c r="I9" s="258"/>
    </row>
    <row r="10" spans="2:12">
      <c r="B10" s="8">
        <v>2023</v>
      </c>
      <c r="C10" s="160">
        <v>9.2611743077099851E-2</v>
      </c>
      <c r="D10" s="160">
        <v>0.34174263302946789</v>
      </c>
      <c r="E10" s="160">
        <v>0.11679466743950152</v>
      </c>
      <c r="F10" s="258"/>
      <c r="G10" s="258"/>
      <c r="H10" s="258"/>
      <c r="I10" s="258"/>
    </row>
    <row r="11" spans="2:12">
      <c r="B11" s="9">
        <v>2024</v>
      </c>
      <c r="C11" s="160">
        <v>8.6510844805387732E-2</v>
      </c>
      <c r="D11" s="160">
        <v>0.32949830252734819</v>
      </c>
      <c r="E11" s="160">
        <v>9.9822867264727735E-2</v>
      </c>
      <c r="F11" s="258"/>
      <c r="G11" s="258"/>
      <c r="H11" s="258"/>
      <c r="I11" s="258"/>
    </row>
    <row r="12" spans="2:12">
      <c r="C12" s="191" t="s">
        <v>15</v>
      </c>
      <c r="D12" s="160"/>
      <c r="E12" s="160"/>
      <c r="F12" s="160"/>
      <c r="G12" s="160"/>
      <c r="H12" s="160"/>
      <c r="I12" s="160"/>
    </row>
    <row r="13" spans="2:12">
      <c r="C13" s="192" t="s">
        <v>19</v>
      </c>
      <c r="D13" s="193" t="s">
        <v>20</v>
      </c>
      <c r="E13" s="194" t="s">
        <v>21</v>
      </c>
      <c r="F13" s="160"/>
      <c r="G13" s="160"/>
      <c r="H13" s="160"/>
      <c r="I13" s="160"/>
    </row>
    <row r="14" spans="2:12">
      <c r="B14" s="4">
        <v>2019</v>
      </c>
      <c r="C14" s="160">
        <v>3.8650036419880761E-2</v>
      </c>
      <c r="D14" s="160">
        <v>0.11132696143186468</v>
      </c>
      <c r="E14" s="160">
        <v>6.0363472936153476E-2</v>
      </c>
      <c r="F14" s="258">
        <f>_xlfn.STDEV.P(C14:C19)</f>
        <v>4.1030956284767016E-2</v>
      </c>
      <c r="G14" s="258">
        <f>_xlfn.STDEV.P(D14:D19)</f>
        <v>8.6764916360050487E-2</v>
      </c>
      <c r="H14" s="258">
        <f>_xlfn.STDEV.P(E14:E19)</f>
        <v>3.9647814749549384E-2</v>
      </c>
      <c r="I14" s="258">
        <f>AVERAGE(F14:H14)</f>
        <v>5.5814562464788962E-2</v>
      </c>
    </row>
    <row r="15" spans="2:12">
      <c r="B15" s="5">
        <v>2020</v>
      </c>
      <c r="C15" s="160">
        <v>3.2780227430958458E-2</v>
      </c>
      <c r="D15" s="160">
        <v>6.6644648375757856E-2</v>
      </c>
      <c r="E15" s="160">
        <v>3.3611745669141442E-2</v>
      </c>
      <c r="F15" s="258"/>
      <c r="G15" s="258"/>
      <c r="H15" s="258"/>
      <c r="I15" s="258"/>
    </row>
    <row r="16" spans="2:12">
      <c r="B16" s="6">
        <v>2021</v>
      </c>
      <c r="C16" s="160">
        <v>8.5182844656276416E-2</v>
      </c>
      <c r="D16" s="160">
        <v>0.21278861881395261</v>
      </c>
      <c r="E16" s="160">
        <v>0.10480169361335406</v>
      </c>
      <c r="F16" s="258"/>
      <c r="G16" s="258"/>
      <c r="H16" s="258"/>
      <c r="I16" s="258"/>
    </row>
    <row r="17" spans="2:9">
      <c r="B17" s="7">
        <v>2022</v>
      </c>
      <c r="C17" s="160">
        <v>0.14099463555406053</v>
      </c>
      <c r="D17" s="160">
        <v>0.2782405142897072</v>
      </c>
      <c r="E17" s="160">
        <v>0.12714535230875831</v>
      </c>
      <c r="F17" s="258"/>
      <c r="G17" s="258"/>
      <c r="H17" s="258"/>
      <c r="I17" s="258"/>
    </row>
    <row r="18" spans="2:9">
      <c r="B18" s="8">
        <v>2023</v>
      </c>
      <c r="C18" s="160">
        <v>5.5603097913710174E-2</v>
      </c>
      <c r="D18" s="160">
        <v>0.13531139835487663</v>
      </c>
      <c r="E18" s="160">
        <v>7.8458463611655774E-2</v>
      </c>
      <c r="F18" s="258"/>
      <c r="G18" s="258"/>
      <c r="H18" s="258"/>
      <c r="I18" s="258"/>
    </row>
    <row r="19" spans="2:9">
      <c r="B19" s="9">
        <v>2024</v>
      </c>
      <c r="C19" s="160">
        <v>1.8598279790835209E-2</v>
      </c>
      <c r="D19" s="160">
        <v>1.925161395878355E-2</v>
      </c>
      <c r="E19" s="160">
        <v>1.1094610627882674E-2</v>
      </c>
      <c r="F19" s="258"/>
      <c r="G19" s="258"/>
      <c r="H19" s="258"/>
      <c r="I19" s="258"/>
    </row>
    <row r="20" spans="2:9">
      <c r="C20" s="195" t="s">
        <v>16</v>
      </c>
      <c r="D20" s="160"/>
      <c r="E20" s="160"/>
      <c r="F20" s="196"/>
      <c r="G20" s="196"/>
      <c r="H20" s="196"/>
      <c r="I20" s="196"/>
    </row>
    <row r="21" spans="2:9">
      <c r="C21" s="192" t="s">
        <v>19</v>
      </c>
      <c r="D21" s="193" t="s">
        <v>20</v>
      </c>
      <c r="E21" s="194" t="s">
        <v>21</v>
      </c>
      <c r="F21" s="196"/>
      <c r="G21" s="196"/>
      <c r="H21" s="196"/>
      <c r="I21" s="196"/>
    </row>
    <row r="22" spans="2:9">
      <c r="B22" s="4">
        <v>2019</v>
      </c>
      <c r="C22" s="160">
        <v>0.33632153654905689</v>
      </c>
      <c r="D22" s="160">
        <v>0.15856269292932398</v>
      </c>
      <c r="E22" s="160">
        <v>0.12485862910830221</v>
      </c>
      <c r="F22" s="258">
        <f>_xlfn.STDEV.P(C22:C27)</f>
        <v>9.7406944451353589E-2</v>
      </c>
      <c r="G22" s="258">
        <f>_xlfn.STDEV.P(D22:D27)</f>
        <v>0.13873551088169411</v>
      </c>
      <c r="H22" s="258">
        <f>_xlfn.STDEV.P(E22:E27)</f>
        <v>9.8953982667213294E-2</v>
      </c>
      <c r="I22" s="258">
        <f>AVERAGE(F22:H22)</f>
        <v>0.11169881266675367</v>
      </c>
    </row>
    <row r="23" spans="2:9">
      <c r="B23" s="5">
        <v>2020</v>
      </c>
      <c r="C23" s="160">
        <v>0.53773502425340425</v>
      </c>
      <c r="D23" s="160">
        <v>0.526823065651571</v>
      </c>
      <c r="E23" s="160">
        <v>0.39793391617960633</v>
      </c>
      <c r="F23" s="258"/>
      <c r="G23" s="258"/>
      <c r="H23" s="258"/>
      <c r="I23" s="258"/>
    </row>
    <row r="24" spans="2:9">
      <c r="B24" s="6">
        <v>2021</v>
      </c>
      <c r="C24" s="160">
        <v>0.23521119783105071</v>
      </c>
      <c r="D24" s="160">
        <v>0.11027916611238858</v>
      </c>
      <c r="E24" s="160">
        <v>9.6773341795079057E-2</v>
      </c>
      <c r="F24" s="258"/>
      <c r="G24" s="258"/>
      <c r="H24" s="258"/>
      <c r="I24" s="258"/>
    </row>
    <row r="25" spans="2:9">
      <c r="B25" s="7">
        <v>2022</v>
      </c>
      <c r="C25" s="160">
        <v>0.36374105583176564</v>
      </c>
      <c r="D25" s="160">
        <v>0.17056204730967686</v>
      </c>
      <c r="E25" s="160">
        <v>0.15221468231114016</v>
      </c>
      <c r="F25" s="258"/>
      <c r="G25" s="258"/>
      <c r="H25" s="258"/>
      <c r="I25" s="258"/>
    </row>
    <row r="26" spans="2:9">
      <c r="B26" s="8">
        <v>2023</v>
      </c>
      <c r="C26" s="160">
        <v>0.39107900429117565</v>
      </c>
      <c r="D26" s="160">
        <v>0.20016933708898313</v>
      </c>
      <c r="E26" s="160">
        <v>0.18408892807099309</v>
      </c>
      <c r="F26" s="258"/>
      <c r="G26" s="258"/>
      <c r="H26" s="258"/>
      <c r="I26" s="258"/>
    </row>
    <row r="27" spans="2:9">
      <c r="B27" s="9">
        <v>2024</v>
      </c>
      <c r="C27" s="160">
        <v>0.47701491325137307</v>
      </c>
      <c r="D27" s="160">
        <v>0.16777217712780565</v>
      </c>
      <c r="E27" s="160">
        <v>0.1544406696765474</v>
      </c>
      <c r="F27" s="258"/>
      <c r="G27" s="258"/>
      <c r="H27" s="258"/>
      <c r="I27" s="258"/>
    </row>
  </sheetData>
  <mergeCells count="12">
    <mergeCell ref="F22:F27"/>
    <mergeCell ref="G22:G27"/>
    <mergeCell ref="H22:H27"/>
    <mergeCell ref="I22:I27"/>
    <mergeCell ref="I6:I11"/>
    <mergeCell ref="F14:F19"/>
    <mergeCell ref="G14:G19"/>
    <mergeCell ref="H14:H19"/>
    <mergeCell ref="I14:I19"/>
    <mergeCell ref="F6:F11"/>
    <mergeCell ref="G6:G11"/>
    <mergeCell ref="H6:H1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EDD7-469B-4195-8BD6-991FF0AD777F}">
  <dimension ref="A2:T133"/>
  <sheetViews>
    <sheetView tabSelected="1" zoomScale="70" zoomScaleNormal="70" workbookViewId="0">
      <selection activeCell="K16" sqref="K16"/>
    </sheetView>
  </sheetViews>
  <sheetFormatPr defaultRowHeight="14.4"/>
  <cols>
    <col min="3" max="3" width="13.109375" bestFit="1" customWidth="1"/>
    <col min="4" max="4" width="18.5546875" bestFit="1" customWidth="1"/>
    <col min="7" max="7" width="29.88671875" bestFit="1" customWidth="1"/>
    <col min="8" max="8" width="32.33203125" bestFit="1" customWidth="1"/>
    <col min="9" max="9" width="18.109375" bestFit="1" customWidth="1"/>
    <col min="10" max="15" width="13.6640625" bestFit="1" customWidth="1"/>
  </cols>
  <sheetData>
    <row r="2" spans="1:20">
      <c r="B2" t="s">
        <v>13</v>
      </c>
    </row>
    <row r="3" spans="1:20">
      <c r="A3" s="15" t="s">
        <v>12</v>
      </c>
      <c r="C3" s="3" t="s">
        <v>1</v>
      </c>
      <c r="D3" s="3" t="s">
        <v>2</v>
      </c>
      <c r="G3" s="102" t="s">
        <v>60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4"/>
    </row>
    <row r="4" spans="1:20" ht="15" thickBot="1">
      <c r="A4" t="s">
        <v>18</v>
      </c>
      <c r="B4" s="4">
        <v>2019</v>
      </c>
      <c r="C4" s="12">
        <v>8755</v>
      </c>
      <c r="D4" s="10">
        <v>7696</v>
      </c>
      <c r="G4" s="105"/>
      <c r="H4" s="106"/>
      <c r="I4" s="106"/>
      <c r="J4" s="106"/>
      <c r="K4" s="106"/>
      <c r="L4" s="106"/>
      <c r="M4" s="106"/>
      <c r="N4" s="106"/>
      <c r="O4" s="106"/>
      <c r="P4" s="248" t="s">
        <v>12</v>
      </c>
      <c r="Q4" s="249"/>
      <c r="R4" s="249"/>
      <c r="S4" s="249"/>
      <c r="T4" s="107"/>
    </row>
    <row r="5" spans="1:20">
      <c r="B5" s="5">
        <v>2020</v>
      </c>
      <c r="C5" s="12">
        <v>9899</v>
      </c>
      <c r="D5" s="10">
        <v>8655</v>
      </c>
      <c r="G5" s="105" t="s">
        <v>61</v>
      </c>
      <c r="H5" s="108"/>
      <c r="I5" s="106"/>
      <c r="J5" s="106"/>
      <c r="K5" s="106"/>
      <c r="L5" s="106"/>
      <c r="M5" s="106"/>
      <c r="N5" s="106"/>
      <c r="O5" s="106"/>
      <c r="P5" s="249"/>
      <c r="Q5" s="249"/>
      <c r="R5" s="249"/>
      <c r="S5" s="249"/>
      <c r="T5" s="107"/>
    </row>
    <row r="6" spans="1:20">
      <c r="B6" s="6">
        <v>2021</v>
      </c>
      <c r="C6" s="12">
        <v>7848</v>
      </c>
      <c r="D6" s="12">
        <v>8092</v>
      </c>
      <c r="G6" s="105" t="s">
        <v>62</v>
      </c>
      <c r="H6" s="106">
        <v>0.96538065000313444</v>
      </c>
      <c r="I6" s="106"/>
      <c r="J6" s="106"/>
      <c r="K6" s="106"/>
      <c r="L6" s="106"/>
      <c r="M6" s="106"/>
      <c r="N6" s="106"/>
      <c r="O6" s="106"/>
      <c r="P6" s="249"/>
      <c r="Q6" s="249"/>
      <c r="R6" s="249"/>
      <c r="S6" s="249"/>
      <c r="T6" s="107"/>
    </row>
    <row r="7" spans="1:20">
      <c r="B7" s="7">
        <v>2022</v>
      </c>
      <c r="C7" s="12">
        <v>14029</v>
      </c>
      <c r="D7" s="12">
        <v>10011</v>
      </c>
      <c r="G7" s="105" t="s">
        <v>63</v>
      </c>
      <c r="H7" s="106">
        <v>0.93195979940047435</v>
      </c>
      <c r="I7" s="106"/>
      <c r="J7" s="106"/>
      <c r="K7" s="106"/>
      <c r="L7" s="106"/>
      <c r="M7" s="106"/>
      <c r="N7" s="106"/>
      <c r="O7" s="106"/>
      <c r="P7" s="249"/>
      <c r="Q7" s="249"/>
      <c r="R7" s="249"/>
      <c r="S7" s="249"/>
      <c r="T7" s="107"/>
    </row>
    <row r="8" spans="1:20">
      <c r="B8" s="8">
        <v>2023</v>
      </c>
      <c r="C8" s="12">
        <v>17406</v>
      </c>
      <c r="D8" s="10">
        <v>15190</v>
      </c>
      <c r="G8" s="105" t="s">
        <v>64</v>
      </c>
      <c r="H8" s="106">
        <v>0.91494974925059291</v>
      </c>
      <c r="I8" s="106"/>
      <c r="J8" s="106"/>
      <c r="K8" s="106"/>
      <c r="L8" s="106"/>
      <c r="M8" s="106"/>
      <c r="N8" s="106"/>
      <c r="O8" s="106"/>
      <c r="P8" s="249"/>
      <c r="Q8" s="249"/>
      <c r="R8" s="249"/>
      <c r="S8" s="249"/>
      <c r="T8" s="107"/>
    </row>
    <row r="9" spans="1:20">
      <c r="B9" s="9">
        <v>2024</v>
      </c>
      <c r="C9" s="10">
        <v>20194</v>
      </c>
      <c r="D9" s="10">
        <v>17919</v>
      </c>
      <c r="G9" s="105" t="s">
        <v>65</v>
      </c>
      <c r="H9" s="106">
        <v>1243.2735845143773</v>
      </c>
      <c r="I9" s="106"/>
      <c r="J9" s="106"/>
      <c r="K9" s="106"/>
      <c r="L9" s="106"/>
      <c r="M9" s="106"/>
      <c r="N9" s="106"/>
      <c r="O9" s="106"/>
      <c r="P9" s="249"/>
      <c r="Q9" s="249"/>
      <c r="R9" s="249"/>
      <c r="S9" s="249"/>
      <c r="T9" s="107"/>
    </row>
    <row r="10" spans="1:20" ht="15" thickBot="1">
      <c r="A10" s="16" t="s">
        <v>15</v>
      </c>
      <c r="C10" s="3" t="s">
        <v>1</v>
      </c>
      <c r="D10" s="3" t="s">
        <v>2</v>
      </c>
      <c r="G10" s="109" t="s">
        <v>66</v>
      </c>
      <c r="H10" s="110">
        <v>6</v>
      </c>
      <c r="I10" s="106"/>
      <c r="J10" s="106"/>
      <c r="K10" s="106"/>
      <c r="L10" s="106"/>
      <c r="M10" s="106"/>
      <c r="N10" s="106"/>
      <c r="O10" s="106"/>
      <c r="P10" s="249"/>
      <c r="Q10" s="249"/>
      <c r="R10" s="249"/>
      <c r="S10" s="249"/>
      <c r="T10" s="107"/>
    </row>
    <row r="11" spans="1:20">
      <c r="B11" s="4">
        <v>2019</v>
      </c>
      <c r="C11">
        <v>111203</v>
      </c>
      <c r="D11">
        <v>1717</v>
      </c>
      <c r="G11" s="105"/>
      <c r="H11" s="106"/>
      <c r="I11" s="106"/>
      <c r="J11" s="106"/>
      <c r="K11" s="106"/>
      <c r="L11" s="106"/>
      <c r="M11" s="106"/>
      <c r="N11" s="106"/>
      <c r="O11" s="106"/>
      <c r="P11" s="249"/>
      <c r="Q11" s="249"/>
      <c r="R11" s="249"/>
      <c r="S11" s="249"/>
      <c r="T11" s="107"/>
    </row>
    <row r="12" spans="1:20" ht="15" thickBot="1">
      <c r="B12" s="5">
        <v>2020</v>
      </c>
      <c r="C12">
        <v>86180</v>
      </c>
      <c r="D12">
        <v>6226</v>
      </c>
      <c r="G12" s="105" t="s">
        <v>67</v>
      </c>
      <c r="H12" s="106"/>
      <c r="I12" s="106"/>
      <c r="J12" s="106"/>
      <c r="K12" s="106"/>
      <c r="L12" s="106"/>
      <c r="M12" s="106"/>
      <c r="N12" s="106"/>
      <c r="O12" s="106"/>
      <c r="P12" s="249"/>
      <c r="Q12" s="249"/>
      <c r="R12" s="249"/>
      <c r="S12" s="249"/>
      <c r="T12" s="107"/>
    </row>
    <row r="13" spans="1:20">
      <c r="B13" s="6">
        <v>2021</v>
      </c>
      <c r="C13">
        <v>131341</v>
      </c>
      <c r="D13">
        <v>15940</v>
      </c>
      <c r="G13" s="229"/>
      <c r="H13" s="112" t="s">
        <v>42</v>
      </c>
      <c r="I13" s="112" t="s">
        <v>43</v>
      </c>
      <c r="J13" s="112" t="s">
        <v>44</v>
      </c>
      <c r="K13" s="112" t="s">
        <v>45</v>
      </c>
      <c r="L13" s="230" t="s">
        <v>68</v>
      </c>
      <c r="M13" s="106"/>
      <c r="N13" s="106"/>
      <c r="O13" s="106"/>
      <c r="P13" s="249"/>
      <c r="Q13" s="249"/>
      <c r="R13" s="249"/>
      <c r="S13" s="249"/>
      <c r="T13" s="107"/>
    </row>
    <row r="14" spans="1:20">
      <c r="B14" s="7">
        <v>2022</v>
      </c>
      <c r="C14">
        <v>282415</v>
      </c>
      <c r="D14">
        <v>11020</v>
      </c>
      <c r="G14" s="231" t="s">
        <v>69</v>
      </c>
      <c r="H14" s="106">
        <v>1</v>
      </c>
      <c r="I14" s="106">
        <v>84688608.676195085</v>
      </c>
      <c r="J14" s="106">
        <v>84688608.676195085</v>
      </c>
      <c r="K14" s="106">
        <v>54.788774353317883</v>
      </c>
      <c r="L14" s="106">
        <v>1.7770034563087005E-3</v>
      </c>
      <c r="M14" s="106"/>
      <c r="N14" s="106"/>
      <c r="O14" s="106"/>
      <c r="P14" s="106"/>
      <c r="Q14" s="106"/>
      <c r="R14" s="106"/>
      <c r="S14" s="106"/>
      <c r="T14" s="107"/>
    </row>
    <row r="15" spans="1:20">
      <c r="B15" s="8">
        <v>2023</v>
      </c>
      <c r="C15">
        <v>372767</v>
      </c>
      <c r="D15">
        <v>25583</v>
      </c>
      <c r="G15" s="231" t="s">
        <v>70</v>
      </c>
      <c r="H15" s="106">
        <v>4</v>
      </c>
      <c r="I15" s="106">
        <v>6182916.823804914</v>
      </c>
      <c r="J15" s="106">
        <v>1545729.2059512285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7"/>
    </row>
    <row r="16" spans="1:20" ht="15" thickBot="1">
      <c r="B16" s="9">
        <v>2024</v>
      </c>
      <c r="C16">
        <v>151842</v>
      </c>
      <c r="D16">
        <v>3121</v>
      </c>
      <c r="G16" s="231" t="s">
        <v>71</v>
      </c>
      <c r="H16" s="110">
        <v>5</v>
      </c>
      <c r="I16" s="110">
        <v>90871525.5</v>
      </c>
      <c r="J16" s="110"/>
      <c r="K16" s="110"/>
      <c r="L16" s="110"/>
      <c r="M16" s="106"/>
      <c r="N16" s="106"/>
      <c r="O16" s="106"/>
      <c r="P16" s="106"/>
      <c r="Q16" s="106"/>
      <c r="R16" s="106"/>
      <c r="S16" s="106"/>
      <c r="T16" s="107"/>
    </row>
    <row r="17" spans="1:20" ht="15" thickBot="1">
      <c r="A17" s="17" t="s">
        <v>16</v>
      </c>
      <c r="C17" s="3" t="s">
        <v>1</v>
      </c>
      <c r="D17" s="3" t="s">
        <v>2</v>
      </c>
      <c r="G17" s="105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</row>
    <row r="18" spans="1:20">
      <c r="B18" s="4">
        <v>2019</v>
      </c>
      <c r="C18" s="10">
        <f>521272/1000</f>
        <v>521.27200000000005</v>
      </c>
      <c r="D18" s="10">
        <v>187.95699999999999</v>
      </c>
      <c r="G18" s="111"/>
      <c r="H18" s="232" t="s">
        <v>72</v>
      </c>
      <c r="I18" s="232" t="s">
        <v>65</v>
      </c>
      <c r="J18" s="232" t="s">
        <v>46</v>
      </c>
      <c r="K18" s="232" t="s">
        <v>73</v>
      </c>
      <c r="L18" s="232" t="s">
        <v>74</v>
      </c>
      <c r="M18" s="232" t="s">
        <v>75</v>
      </c>
      <c r="N18" s="232" t="s">
        <v>76</v>
      </c>
      <c r="O18" s="233" t="s">
        <v>77</v>
      </c>
      <c r="P18" s="106"/>
      <c r="Q18" s="106"/>
      <c r="R18" s="106"/>
      <c r="S18" s="106"/>
      <c r="T18" s="107"/>
    </row>
    <row r="19" spans="1:20">
      <c r="B19" s="5">
        <v>2020</v>
      </c>
      <c r="C19" s="10">
        <f>2138875/1000</f>
        <v>2138.875</v>
      </c>
      <c r="D19" s="10">
        <v>498.87200000000001</v>
      </c>
      <c r="G19" s="231" t="s">
        <v>78</v>
      </c>
      <c r="H19" s="106">
        <v>601.70690833887238</v>
      </c>
      <c r="I19" s="106">
        <v>1526.8330357581106</v>
      </c>
      <c r="J19" s="106">
        <v>0.39408821675129002</v>
      </c>
      <c r="K19" s="106">
        <v>0.71362267892236564</v>
      </c>
      <c r="L19" s="106">
        <v>-3637.4612002460208</v>
      </c>
      <c r="M19" s="106">
        <v>4840.8750169237655</v>
      </c>
      <c r="N19" s="106">
        <v>-3637.4612002460208</v>
      </c>
      <c r="O19" s="106">
        <v>4840.8750169237655</v>
      </c>
      <c r="P19" s="106"/>
      <c r="Q19" s="106"/>
      <c r="R19" s="106"/>
      <c r="S19" s="106"/>
      <c r="T19" s="107"/>
    </row>
    <row r="20" spans="1:20" ht="15" thickBot="1">
      <c r="B20" s="6">
        <v>2021</v>
      </c>
      <c r="C20" s="10">
        <f>888172/1000</f>
        <v>888.17200000000003</v>
      </c>
      <c r="D20" s="10">
        <v>422.40499999999997</v>
      </c>
      <c r="G20" s="109" t="s">
        <v>1</v>
      </c>
      <c r="H20" s="110">
        <v>0.81853244614771048</v>
      </c>
      <c r="I20" s="110">
        <v>0.11058344278509863</v>
      </c>
      <c r="J20" s="110">
        <v>7.4019439577260986</v>
      </c>
      <c r="K20" s="110">
        <v>1.777003456308699E-3</v>
      </c>
      <c r="L20" s="110">
        <v>0.51150358771110316</v>
      </c>
      <c r="M20" s="110">
        <v>1.1255613045843178</v>
      </c>
      <c r="N20" s="110">
        <v>0.51150358771110316</v>
      </c>
      <c r="O20" s="110">
        <v>1.1255613045843178</v>
      </c>
      <c r="P20" s="106"/>
      <c r="Q20" s="106"/>
      <c r="R20" s="106"/>
      <c r="S20" s="106"/>
      <c r="T20" s="107"/>
    </row>
    <row r="21" spans="1:20">
      <c r="B21" s="7">
        <v>2022</v>
      </c>
      <c r="C21" s="60">
        <f>952576/1000</f>
        <v>952.57600000000002</v>
      </c>
      <c r="D21" s="10">
        <v>351.351</v>
      </c>
      <c r="G21" s="105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7"/>
    </row>
    <row r="22" spans="1:20">
      <c r="B22" s="8">
        <v>2023</v>
      </c>
      <c r="C22" s="60">
        <f>1230199/1000</f>
        <v>1230.1990000000001</v>
      </c>
      <c r="D22" s="10">
        <v>434.63900000000001</v>
      </c>
      <c r="G22" s="105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</row>
    <row r="23" spans="1:20">
      <c r="B23" s="9">
        <v>2024</v>
      </c>
      <c r="C23" s="60">
        <f>985030/1000</f>
        <v>985.03</v>
      </c>
      <c r="D23" s="10">
        <v>401.21699999999998</v>
      </c>
      <c r="G23" s="105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7"/>
    </row>
    <row r="24" spans="1:20">
      <c r="G24" s="234" t="s">
        <v>80</v>
      </c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7"/>
    </row>
    <row r="25" spans="1:20">
      <c r="G25" s="105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7"/>
    </row>
    <row r="26" spans="1:20">
      <c r="G26" s="235" t="s">
        <v>81</v>
      </c>
      <c r="H26" s="232" t="s">
        <v>82</v>
      </c>
      <c r="I26" s="106" t="s">
        <v>79</v>
      </c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7"/>
    </row>
    <row r="27" spans="1:20">
      <c r="G27" s="105">
        <v>1</v>
      </c>
      <c r="H27" s="106">
        <v>7767.9584743620781</v>
      </c>
      <c r="I27" s="106">
        <v>-71.95847436207805</v>
      </c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7"/>
    </row>
    <row r="28" spans="1:20">
      <c r="G28" s="105">
        <v>2</v>
      </c>
      <c r="H28" s="106">
        <v>8704.3595927550596</v>
      </c>
      <c r="I28" s="106">
        <v>-49.359592755059566</v>
      </c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</row>
    <row r="29" spans="1:20">
      <c r="G29" s="105">
        <v>3</v>
      </c>
      <c r="H29" s="106">
        <v>7025.5495457061043</v>
      </c>
      <c r="I29" s="106">
        <v>1066.4504542938957</v>
      </c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7"/>
    </row>
    <row r="30" spans="1:20">
      <c r="G30" s="105">
        <v>4</v>
      </c>
      <c r="H30" s="106">
        <v>12084.898595345103</v>
      </c>
      <c r="I30" s="106">
        <v>-2073.8985953451029</v>
      </c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7"/>
    </row>
    <row r="31" spans="1:20">
      <c r="G31" s="105">
        <v>5</v>
      </c>
      <c r="H31" s="106">
        <v>14849.082665985921</v>
      </c>
      <c r="I31" s="106">
        <v>340.91733401407873</v>
      </c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</row>
    <row r="32" spans="1:20" ht="15" thickBot="1">
      <c r="G32" s="109">
        <v>6</v>
      </c>
      <c r="H32" s="110">
        <v>17131.151125845739</v>
      </c>
      <c r="I32" s="110">
        <v>787.84887415426056</v>
      </c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7"/>
    </row>
    <row r="33" spans="7:20">
      <c r="G33" s="105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7"/>
    </row>
    <row r="34" spans="7:20">
      <c r="G34" s="105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7"/>
    </row>
    <row r="35" spans="7:20">
      <c r="G35" s="105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7"/>
    </row>
    <row r="36" spans="7:20">
      <c r="G36" s="105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7"/>
    </row>
    <row r="37" spans="7:20">
      <c r="G37" s="105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7"/>
    </row>
    <row r="38" spans="7:20">
      <c r="G38" s="105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7"/>
    </row>
    <row r="39" spans="7:20">
      <c r="G39" s="105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</row>
    <row r="40" spans="7:20">
      <c r="G40" s="105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7"/>
    </row>
    <row r="41" spans="7:20">
      <c r="G41" s="105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7"/>
    </row>
    <row r="42" spans="7:20">
      <c r="G42" s="105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7"/>
    </row>
    <row r="43" spans="7:20">
      <c r="G43" s="105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7"/>
    </row>
    <row r="44" spans="7:20">
      <c r="G44" s="105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7"/>
    </row>
    <row r="45" spans="7:20">
      <c r="G45" s="105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7"/>
    </row>
    <row r="46" spans="7:20">
      <c r="G46" s="113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5"/>
    </row>
    <row r="48" spans="7:20">
      <c r="G48" s="133" t="s">
        <v>60</v>
      </c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5"/>
    </row>
    <row r="49" spans="7:19" ht="15" thickBot="1">
      <c r="G49" s="13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37"/>
    </row>
    <row r="50" spans="7:19" ht="15" customHeight="1">
      <c r="G50" s="136" t="s">
        <v>61</v>
      </c>
      <c r="H50" s="117"/>
      <c r="I50" s="116"/>
      <c r="J50" s="116"/>
      <c r="K50" s="116"/>
      <c r="L50" s="116"/>
      <c r="M50" s="116"/>
      <c r="N50" s="116"/>
      <c r="O50" s="250" t="s">
        <v>0</v>
      </c>
      <c r="P50" s="251"/>
      <c r="Q50" s="251"/>
      <c r="R50" s="251"/>
      <c r="S50" s="137"/>
    </row>
    <row r="51" spans="7:19" ht="15" customHeight="1">
      <c r="G51" s="136" t="s">
        <v>62</v>
      </c>
      <c r="H51" s="116">
        <v>0.76571408266122032</v>
      </c>
      <c r="I51" s="116"/>
      <c r="J51" s="116"/>
      <c r="K51" s="116"/>
      <c r="L51" s="116"/>
      <c r="M51" s="116"/>
      <c r="N51" s="116"/>
      <c r="O51" s="251"/>
      <c r="P51" s="251"/>
      <c r="Q51" s="251"/>
      <c r="R51" s="251"/>
      <c r="S51" s="137"/>
    </row>
    <row r="52" spans="7:19" ht="15" customHeight="1">
      <c r="G52" s="136" t="s">
        <v>63</v>
      </c>
      <c r="H52" s="116">
        <v>0.5863180563857141</v>
      </c>
      <c r="I52" s="116"/>
      <c r="J52" s="116"/>
      <c r="K52" s="116"/>
      <c r="L52" s="116"/>
      <c r="M52" s="116"/>
      <c r="N52" s="116"/>
      <c r="O52" s="251"/>
      <c r="P52" s="251"/>
      <c r="Q52" s="251"/>
      <c r="R52" s="251"/>
      <c r="S52" s="137"/>
    </row>
    <row r="53" spans="7:19" ht="15" customHeight="1">
      <c r="G53" s="136" t="s">
        <v>64</v>
      </c>
      <c r="H53" s="116">
        <v>0.48289757048214266</v>
      </c>
      <c r="I53" s="116"/>
      <c r="J53" s="116"/>
      <c r="K53" s="116"/>
      <c r="L53" s="116"/>
      <c r="M53" s="116"/>
      <c r="N53" s="116"/>
      <c r="O53" s="251"/>
      <c r="P53" s="251"/>
      <c r="Q53" s="251"/>
      <c r="R53" s="251"/>
      <c r="S53" s="137"/>
    </row>
    <row r="54" spans="7:19" ht="15" customHeight="1">
      <c r="G54" s="136" t="s">
        <v>65</v>
      </c>
      <c r="H54" s="116">
        <v>6489.0988930269168</v>
      </c>
      <c r="I54" s="116"/>
      <c r="J54" s="116"/>
      <c r="K54" s="116"/>
      <c r="L54" s="116"/>
      <c r="M54" s="116"/>
      <c r="N54" s="116"/>
      <c r="O54" s="251"/>
      <c r="P54" s="251"/>
      <c r="Q54" s="251"/>
      <c r="R54" s="251"/>
      <c r="S54" s="137"/>
    </row>
    <row r="55" spans="7:19" ht="15.75" customHeight="1" thickBot="1">
      <c r="G55" s="138" t="s">
        <v>66</v>
      </c>
      <c r="H55" s="118">
        <v>6</v>
      </c>
      <c r="I55" s="116"/>
      <c r="J55" s="116"/>
      <c r="K55" s="116"/>
      <c r="L55" s="116"/>
      <c r="M55" s="116"/>
      <c r="N55" s="116"/>
      <c r="O55" s="251"/>
      <c r="P55" s="251"/>
      <c r="Q55" s="251"/>
      <c r="R55" s="251"/>
      <c r="S55" s="137"/>
    </row>
    <row r="56" spans="7:19" ht="15" customHeight="1">
      <c r="G56" s="136"/>
      <c r="H56" s="116"/>
      <c r="I56" s="116"/>
      <c r="J56" s="116"/>
      <c r="K56" s="116"/>
      <c r="L56" s="116"/>
      <c r="M56" s="116"/>
      <c r="N56" s="116"/>
      <c r="O56" s="251"/>
      <c r="P56" s="251"/>
      <c r="Q56" s="251"/>
      <c r="R56" s="251"/>
      <c r="S56" s="137"/>
    </row>
    <row r="57" spans="7:19" ht="15.75" customHeight="1" thickBot="1">
      <c r="G57" s="136" t="s">
        <v>67</v>
      </c>
      <c r="H57" s="116"/>
      <c r="I57" s="116"/>
      <c r="J57" s="116"/>
      <c r="K57" s="116"/>
      <c r="L57" s="116"/>
      <c r="M57" s="116"/>
      <c r="N57" s="116"/>
      <c r="O57" s="251"/>
      <c r="P57" s="251"/>
      <c r="Q57" s="251"/>
      <c r="R57" s="251"/>
      <c r="S57" s="137"/>
    </row>
    <row r="58" spans="7:19" ht="15" customHeight="1">
      <c r="G58" s="210"/>
      <c r="H58" s="119" t="s">
        <v>42</v>
      </c>
      <c r="I58" s="119" t="s">
        <v>43</v>
      </c>
      <c r="J58" s="119" t="s">
        <v>44</v>
      </c>
      <c r="K58" s="119" t="s">
        <v>45</v>
      </c>
      <c r="L58" s="212" t="s">
        <v>68</v>
      </c>
      <c r="M58" s="116"/>
      <c r="N58" s="116"/>
      <c r="O58" s="251"/>
      <c r="P58" s="251"/>
      <c r="Q58" s="251"/>
      <c r="R58" s="251"/>
      <c r="S58" s="137"/>
    </row>
    <row r="59" spans="7:19" ht="15" customHeight="1">
      <c r="G59" s="211" t="s">
        <v>69</v>
      </c>
      <c r="H59" s="116">
        <v>1</v>
      </c>
      <c r="I59" s="116">
        <v>238723669.05940068</v>
      </c>
      <c r="J59" s="116">
        <v>238723669.05940068</v>
      </c>
      <c r="K59" s="116">
        <v>5.6692641816863327</v>
      </c>
      <c r="L59" s="116">
        <v>7.5904872354717892E-2</v>
      </c>
      <c r="M59" s="116"/>
      <c r="N59" s="116"/>
      <c r="O59" s="251"/>
      <c r="P59" s="251"/>
      <c r="Q59" s="251"/>
      <c r="R59" s="251"/>
      <c r="S59" s="137"/>
    </row>
    <row r="60" spans="7:19">
      <c r="G60" s="211" t="s">
        <v>70</v>
      </c>
      <c r="H60" s="116">
        <v>4</v>
      </c>
      <c r="I60" s="116">
        <v>168433617.77393264</v>
      </c>
      <c r="J60" s="116">
        <v>42108404.443483159</v>
      </c>
      <c r="K60" s="116"/>
      <c r="L60" s="116"/>
      <c r="M60" s="116"/>
      <c r="N60" s="116"/>
      <c r="O60" s="116"/>
      <c r="P60" s="116"/>
      <c r="Q60" s="116"/>
      <c r="R60" s="116"/>
      <c r="S60" s="137"/>
    </row>
    <row r="61" spans="7:19" ht="15" thickBot="1">
      <c r="G61" s="211" t="s">
        <v>71</v>
      </c>
      <c r="H61" s="118">
        <v>5</v>
      </c>
      <c r="I61" s="118">
        <v>407157286.83333331</v>
      </c>
      <c r="J61" s="118"/>
      <c r="K61" s="118"/>
      <c r="L61" s="118"/>
      <c r="M61" s="116"/>
      <c r="N61" s="116"/>
      <c r="O61" s="116"/>
      <c r="P61" s="116"/>
      <c r="Q61" s="116"/>
      <c r="R61" s="116"/>
      <c r="S61" s="137"/>
    </row>
    <row r="62" spans="7:19" ht="15" thickBot="1">
      <c r="G62" s="13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37"/>
    </row>
    <row r="63" spans="7:19">
      <c r="G63" s="139"/>
      <c r="H63" s="213" t="s">
        <v>72</v>
      </c>
      <c r="I63" s="213" t="s">
        <v>65</v>
      </c>
      <c r="J63" s="213" t="s">
        <v>46</v>
      </c>
      <c r="K63" s="213" t="s">
        <v>73</v>
      </c>
      <c r="L63" s="213" t="s">
        <v>74</v>
      </c>
      <c r="M63" s="213" t="s">
        <v>75</v>
      </c>
      <c r="N63" s="213" t="s">
        <v>76</v>
      </c>
      <c r="O63" s="214" t="s">
        <v>77</v>
      </c>
      <c r="P63" s="116"/>
      <c r="Q63" s="116"/>
      <c r="R63" s="116"/>
      <c r="S63" s="137"/>
    </row>
    <row r="64" spans="7:19">
      <c r="G64" s="211" t="s">
        <v>78</v>
      </c>
      <c r="H64" s="116">
        <v>-975.41800227461317</v>
      </c>
      <c r="I64" s="116">
        <v>5536.9075759316966</v>
      </c>
      <c r="J64" s="116">
        <v>-0.17616656751047166</v>
      </c>
      <c r="K64" s="116">
        <v>0.86872243327295051</v>
      </c>
      <c r="L64" s="116">
        <v>-16348.337939402752</v>
      </c>
      <c r="M64" s="116">
        <v>14397.501934853526</v>
      </c>
      <c r="N64" s="116">
        <v>-16348.337939402752</v>
      </c>
      <c r="O64" s="116">
        <v>14397.501934853526</v>
      </c>
      <c r="P64" s="116"/>
      <c r="Q64" s="116"/>
      <c r="R64" s="116"/>
      <c r="S64" s="137"/>
    </row>
    <row r="65" spans="7:19" ht="15" thickBot="1">
      <c r="G65" s="138" t="s">
        <v>1</v>
      </c>
      <c r="H65" s="118">
        <v>6.1157499739068588E-2</v>
      </c>
      <c r="I65" s="118">
        <v>2.5685402434889947E-2</v>
      </c>
      <c r="J65" s="118">
        <v>2.3810216676221847</v>
      </c>
      <c r="K65" s="118">
        <v>7.5904872354717975E-2</v>
      </c>
      <c r="L65" s="118">
        <v>-1.0156610126317092E-2</v>
      </c>
      <c r="M65" s="118">
        <v>0.13247160960445425</v>
      </c>
      <c r="N65" s="118">
        <v>-1.0156610126317092E-2</v>
      </c>
      <c r="O65" s="118">
        <v>0.13247160960445425</v>
      </c>
      <c r="P65" s="116"/>
      <c r="Q65" s="116"/>
      <c r="R65" s="116"/>
      <c r="S65" s="137"/>
    </row>
    <row r="66" spans="7:19">
      <c r="G66" s="13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37"/>
    </row>
    <row r="67" spans="7:19">
      <c r="G67" s="13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37"/>
    </row>
    <row r="68" spans="7:19">
      <c r="G68" s="13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37"/>
    </row>
    <row r="69" spans="7:19">
      <c r="G69" s="215" t="s">
        <v>80</v>
      </c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37"/>
    </row>
    <row r="70" spans="7:19">
      <c r="G70" s="13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37"/>
    </row>
    <row r="71" spans="7:19">
      <c r="G71" s="216" t="s">
        <v>81</v>
      </c>
      <c r="H71" s="213" t="s">
        <v>82</v>
      </c>
      <c r="I71" s="116" t="s">
        <v>79</v>
      </c>
      <c r="J71" s="116"/>
      <c r="K71" s="116"/>
      <c r="L71" s="116"/>
      <c r="M71" s="116"/>
      <c r="N71" s="116"/>
      <c r="O71" s="116"/>
      <c r="P71" s="116"/>
      <c r="Q71" s="116"/>
      <c r="R71" s="116"/>
      <c r="S71" s="137"/>
    </row>
    <row r="72" spans="7:19">
      <c r="G72" s="136">
        <v>1</v>
      </c>
      <c r="H72" s="116">
        <v>5825.4794412090314</v>
      </c>
      <c r="I72" s="116">
        <v>-4108.4794412090314</v>
      </c>
      <c r="J72" s="116"/>
      <c r="K72" s="116"/>
      <c r="L72" s="116"/>
      <c r="M72" s="116"/>
      <c r="N72" s="116"/>
      <c r="O72" s="116"/>
      <c r="P72" s="116"/>
      <c r="Q72" s="116"/>
      <c r="R72" s="116"/>
      <c r="S72" s="137"/>
    </row>
    <row r="73" spans="7:19">
      <c r="G73" s="136">
        <v>2</v>
      </c>
      <c r="H73" s="116">
        <v>4295.1353252383178</v>
      </c>
      <c r="I73" s="116">
        <v>1930.8646747616822</v>
      </c>
      <c r="J73" s="116"/>
      <c r="K73" s="116"/>
      <c r="L73" s="116"/>
      <c r="M73" s="116"/>
      <c r="N73" s="116"/>
      <c r="O73" s="116"/>
      <c r="P73" s="116"/>
      <c r="Q73" s="116"/>
      <c r="R73" s="116"/>
      <c r="S73" s="137"/>
    </row>
    <row r="74" spans="7:19">
      <c r="G74" s="136">
        <v>3</v>
      </c>
      <c r="H74" s="116">
        <v>7057.0691709543944</v>
      </c>
      <c r="I74" s="116">
        <v>8882.9308290456065</v>
      </c>
      <c r="J74" s="116"/>
      <c r="K74" s="116"/>
      <c r="L74" s="116"/>
      <c r="M74" s="116"/>
      <c r="N74" s="116"/>
      <c r="O74" s="116"/>
      <c r="P74" s="116"/>
      <c r="Q74" s="116"/>
      <c r="R74" s="116"/>
      <c r="S74" s="137"/>
    </row>
    <row r="75" spans="7:19">
      <c r="G75" s="136">
        <v>4</v>
      </c>
      <c r="H75" s="116">
        <v>16296.377286534442</v>
      </c>
      <c r="I75" s="116">
        <v>-5276.3772865344417</v>
      </c>
      <c r="J75" s="116"/>
      <c r="K75" s="116"/>
      <c r="L75" s="116"/>
      <c r="M75" s="116"/>
      <c r="N75" s="116"/>
      <c r="O75" s="116"/>
      <c r="P75" s="116"/>
      <c r="Q75" s="116"/>
      <c r="R75" s="116"/>
      <c r="S75" s="137"/>
    </row>
    <row r="76" spans="7:19">
      <c r="G76" s="136">
        <v>5</v>
      </c>
      <c r="H76" s="116">
        <v>21822.07970295877</v>
      </c>
      <c r="I76" s="116">
        <v>3760.9202970412298</v>
      </c>
      <c r="J76" s="116"/>
      <c r="K76" s="116"/>
      <c r="L76" s="116"/>
      <c r="M76" s="116"/>
      <c r="N76" s="116"/>
      <c r="O76" s="116"/>
      <c r="P76" s="116"/>
      <c r="Q76" s="116"/>
      <c r="R76" s="116"/>
      <c r="S76" s="137"/>
    </row>
    <row r="77" spans="7:19" ht="15" thickBot="1">
      <c r="G77" s="138">
        <v>6</v>
      </c>
      <c r="H77" s="118">
        <v>8310.859073105039</v>
      </c>
      <c r="I77" s="118">
        <v>-5189.859073105039</v>
      </c>
      <c r="J77" s="116"/>
      <c r="K77" s="116"/>
      <c r="L77" s="116"/>
      <c r="M77" s="116"/>
      <c r="N77" s="116"/>
      <c r="O77" s="116"/>
      <c r="P77" s="116"/>
      <c r="Q77" s="116"/>
      <c r="R77" s="116"/>
      <c r="S77" s="137"/>
    </row>
    <row r="78" spans="7:19">
      <c r="G78" s="13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37"/>
    </row>
    <row r="79" spans="7:19">
      <c r="G79" s="13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37"/>
    </row>
    <row r="80" spans="7:19">
      <c r="G80" s="13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37"/>
    </row>
    <row r="81" spans="7:19">
      <c r="G81" s="13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37"/>
    </row>
    <row r="82" spans="7:19">
      <c r="G82" s="13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37"/>
    </row>
    <row r="83" spans="7:19">
      <c r="G83" s="13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37"/>
    </row>
    <row r="84" spans="7:19">
      <c r="G84" s="13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37"/>
    </row>
    <row r="85" spans="7:19">
      <c r="G85" s="13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37"/>
    </row>
    <row r="86" spans="7:19">
      <c r="G86" s="13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37"/>
    </row>
    <row r="87" spans="7:19">
      <c r="G87" s="13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37"/>
    </row>
    <row r="88" spans="7:19"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2"/>
    </row>
    <row r="90" spans="7:19">
      <c r="G90" s="124" t="s">
        <v>60</v>
      </c>
      <c r="H90" s="125"/>
      <c r="I90" s="125"/>
      <c r="J90" s="125"/>
      <c r="K90" s="125"/>
      <c r="L90" s="125"/>
      <c r="M90" s="252" t="s">
        <v>11</v>
      </c>
      <c r="N90" s="253"/>
      <c r="O90" s="253"/>
      <c r="P90" s="253"/>
      <c r="Q90" s="253"/>
      <c r="R90" s="253"/>
      <c r="S90" s="254"/>
    </row>
    <row r="91" spans="7:19" ht="15" thickBot="1">
      <c r="G91" s="126"/>
      <c r="H91" s="121"/>
      <c r="I91" s="121"/>
      <c r="J91" s="121"/>
      <c r="K91" s="121"/>
      <c r="L91" s="121"/>
      <c r="M91" s="255"/>
      <c r="N91" s="255"/>
      <c r="O91" s="255"/>
      <c r="P91" s="255"/>
      <c r="Q91" s="255"/>
      <c r="R91" s="255"/>
      <c r="S91" s="256"/>
    </row>
    <row r="92" spans="7:19">
      <c r="G92" s="126" t="s">
        <v>61</v>
      </c>
      <c r="H92" s="120"/>
      <c r="I92" s="121"/>
      <c r="J92" s="121"/>
      <c r="K92" s="121"/>
      <c r="L92" s="121"/>
      <c r="M92" s="255"/>
      <c r="N92" s="255"/>
      <c r="O92" s="255"/>
      <c r="P92" s="255"/>
      <c r="Q92" s="255"/>
      <c r="R92" s="255"/>
      <c r="S92" s="256"/>
    </row>
    <row r="93" spans="7:19">
      <c r="G93" s="126" t="s">
        <v>62</v>
      </c>
      <c r="H93" s="121">
        <v>0.79859305945954395</v>
      </c>
      <c r="I93" s="121"/>
      <c r="J93" s="121"/>
      <c r="K93" s="121"/>
      <c r="L93" s="121"/>
      <c r="M93" s="255"/>
      <c r="N93" s="255"/>
      <c r="O93" s="255"/>
      <c r="P93" s="255"/>
      <c r="Q93" s="255"/>
      <c r="R93" s="255"/>
      <c r="S93" s="256"/>
    </row>
    <row r="94" spans="7:19">
      <c r="G94" s="126" t="s">
        <v>63</v>
      </c>
      <c r="H94" s="121">
        <v>0.63775087461695479</v>
      </c>
      <c r="I94" s="121"/>
      <c r="J94" s="121"/>
      <c r="K94" s="121"/>
      <c r="L94" s="121"/>
      <c r="M94" s="255"/>
      <c r="N94" s="255"/>
      <c r="O94" s="255"/>
      <c r="P94" s="255"/>
      <c r="Q94" s="255"/>
      <c r="R94" s="255"/>
      <c r="S94" s="256"/>
    </row>
    <row r="95" spans="7:19">
      <c r="G95" s="126" t="s">
        <v>64</v>
      </c>
      <c r="H95" s="121">
        <v>0.54718859327119351</v>
      </c>
      <c r="I95" s="121"/>
      <c r="J95" s="121"/>
      <c r="K95" s="121"/>
      <c r="L95" s="121"/>
      <c r="M95" s="255"/>
      <c r="N95" s="255"/>
      <c r="O95" s="255"/>
      <c r="P95" s="255"/>
      <c r="Q95" s="255"/>
      <c r="R95" s="255"/>
      <c r="S95" s="256"/>
    </row>
    <row r="96" spans="7:19">
      <c r="G96" s="126" t="s">
        <v>65</v>
      </c>
      <c r="H96" s="121">
        <v>71.860355622674106</v>
      </c>
      <c r="I96" s="121"/>
      <c r="J96" s="121"/>
      <c r="K96" s="121"/>
      <c r="L96" s="121"/>
      <c r="M96" s="255"/>
      <c r="N96" s="255"/>
      <c r="O96" s="255"/>
      <c r="P96" s="255"/>
      <c r="Q96" s="255"/>
      <c r="R96" s="255"/>
      <c r="S96" s="256"/>
    </row>
    <row r="97" spans="7:19" ht="15" thickBot="1">
      <c r="G97" s="128" t="s">
        <v>66</v>
      </c>
      <c r="H97" s="122">
        <v>6</v>
      </c>
      <c r="I97" s="121"/>
      <c r="J97" s="121"/>
      <c r="K97" s="121"/>
      <c r="L97" s="121"/>
      <c r="M97" s="255"/>
      <c r="N97" s="255"/>
      <c r="O97" s="255"/>
      <c r="P97" s="255"/>
      <c r="Q97" s="255"/>
      <c r="R97" s="255"/>
      <c r="S97" s="256"/>
    </row>
    <row r="98" spans="7:19">
      <c r="G98" s="126"/>
      <c r="H98" s="121"/>
      <c r="I98" s="121"/>
      <c r="J98" s="121"/>
      <c r="K98" s="121"/>
      <c r="L98" s="121"/>
      <c r="M98" s="255"/>
      <c r="N98" s="255"/>
      <c r="O98" s="255"/>
      <c r="P98" s="255"/>
      <c r="Q98" s="255"/>
      <c r="R98" s="255"/>
      <c r="S98" s="256"/>
    </row>
    <row r="99" spans="7:19" ht="15" thickBot="1">
      <c r="G99" s="126" t="s">
        <v>67</v>
      </c>
      <c r="H99" s="121"/>
      <c r="I99" s="121"/>
      <c r="J99" s="121"/>
      <c r="K99" s="121"/>
      <c r="L99" s="121"/>
      <c r="M99" s="255"/>
      <c r="N99" s="255"/>
      <c r="O99" s="255"/>
      <c r="P99" s="255"/>
      <c r="Q99" s="255"/>
      <c r="R99" s="255"/>
      <c r="S99" s="256"/>
    </row>
    <row r="100" spans="7:19">
      <c r="G100" s="236"/>
      <c r="H100" s="123" t="s">
        <v>42</v>
      </c>
      <c r="I100" s="123" t="s">
        <v>43</v>
      </c>
      <c r="J100" s="123" t="s">
        <v>44</v>
      </c>
      <c r="K100" s="123" t="s">
        <v>45</v>
      </c>
      <c r="L100" s="237" t="s">
        <v>68</v>
      </c>
      <c r="M100" s="255"/>
      <c r="N100" s="255"/>
      <c r="O100" s="255"/>
      <c r="P100" s="255"/>
      <c r="Q100" s="255"/>
      <c r="R100" s="255"/>
      <c r="S100" s="256"/>
    </row>
    <row r="101" spans="7:19">
      <c r="G101" s="238" t="s">
        <v>69</v>
      </c>
      <c r="H101" s="121">
        <v>1</v>
      </c>
      <c r="I101" s="121">
        <v>36364.902947964583</v>
      </c>
      <c r="J101" s="121">
        <v>36364.902947964583</v>
      </c>
      <c r="K101" s="121">
        <v>7.0421246587424262</v>
      </c>
      <c r="L101" s="121">
        <v>5.676212187736094E-2</v>
      </c>
      <c r="M101" s="255"/>
      <c r="N101" s="255"/>
      <c r="O101" s="255"/>
      <c r="P101" s="255"/>
      <c r="Q101" s="255"/>
      <c r="R101" s="255"/>
      <c r="S101" s="256"/>
    </row>
    <row r="102" spans="7:19">
      <c r="G102" s="238" t="s">
        <v>70</v>
      </c>
      <c r="H102" s="121">
        <v>4</v>
      </c>
      <c r="I102" s="121">
        <v>20655.642840868757</v>
      </c>
      <c r="J102" s="121">
        <v>5163.9107102171893</v>
      </c>
      <c r="K102" s="121"/>
      <c r="L102" s="121"/>
      <c r="M102" s="255"/>
      <c r="N102" s="255"/>
      <c r="O102" s="255"/>
      <c r="P102" s="255"/>
      <c r="Q102" s="255"/>
      <c r="R102" s="255"/>
      <c r="S102" s="256"/>
    </row>
    <row r="103" spans="7:19" ht="15" thickBot="1">
      <c r="G103" s="238" t="s">
        <v>71</v>
      </c>
      <c r="H103" s="122">
        <v>5</v>
      </c>
      <c r="I103" s="122">
        <v>57020.54578883334</v>
      </c>
      <c r="J103" s="122"/>
      <c r="K103" s="122"/>
      <c r="L103" s="122"/>
      <c r="M103" s="255"/>
      <c r="N103" s="255"/>
      <c r="O103" s="255"/>
      <c r="P103" s="255"/>
      <c r="Q103" s="255"/>
      <c r="R103" s="255"/>
      <c r="S103" s="256"/>
    </row>
    <row r="104" spans="7:19" ht="15" thickBot="1">
      <c r="G104" s="126"/>
      <c r="H104" s="121"/>
      <c r="I104" s="121"/>
      <c r="J104" s="121"/>
      <c r="K104" s="121"/>
      <c r="L104" s="121"/>
      <c r="M104" s="255"/>
      <c r="N104" s="255"/>
      <c r="O104" s="255"/>
      <c r="P104" s="255"/>
      <c r="Q104" s="255"/>
      <c r="R104" s="255"/>
      <c r="S104" s="256"/>
    </row>
    <row r="105" spans="7:19">
      <c r="G105" s="129"/>
      <c r="H105" s="239" t="s">
        <v>72</v>
      </c>
      <c r="I105" s="239" t="s">
        <v>65</v>
      </c>
      <c r="J105" s="239" t="s">
        <v>46</v>
      </c>
      <c r="K105" s="239" t="s">
        <v>73</v>
      </c>
      <c r="L105" s="239" t="s">
        <v>74</v>
      </c>
      <c r="M105" s="239" t="s">
        <v>75</v>
      </c>
      <c r="N105" s="239" t="s">
        <v>76</v>
      </c>
      <c r="O105" s="240" t="s">
        <v>77</v>
      </c>
      <c r="P105" s="121"/>
      <c r="Q105" s="121"/>
      <c r="R105" s="121"/>
      <c r="S105" s="127"/>
    </row>
    <row r="106" spans="7:19">
      <c r="G106" s="238" t="s">
        <v>78</v>
      </c>
      <c r="H106" s="121">
        <v>208.95803964247276</v>
      </c>
      <c r="I106" s="121">
        <v>71.757665707205192</v>
      </c>
      <c r="J106" s="121">
        <v>2.9119960576071424</v>
      </c>
      <c r="K106" s="121">
        <v>4.3590984644241472E-2</v>
      </c>
      <c r="L106" s="121">
        <v>9.7268199292833515</v>
      </c>
      <c r="M106" s="121">
        <v>408.18925935566216</v>
      </c>
      <c r="N106" s="121">
        <v>9.7268199292833515</v>
      </c>
      <c r="O106" s="121">
        <v>408.18925935566216</v>
      </c>
      <c r="P106" s="121"/>
      <c r="Q106" s="121"/>
      <c r="R106" s="121"/>
      <c r="S106" s="127"/>
    </row>
    <row r="107" spans="7:19" ht="15" thickBot="1">
      <c r="G107" s="128" t="s">
        <v>1</v>
      </c>
      <c r="H107" s="122">
        <v>0.15525216064282965</v>
      </c>
      <c r="I107" s="122">
        <v>5.8504032092655436E-2</v>
      </c>
      <c r="J107" s="122">
        <v>2.6537001825267343</v>
      </c>
      <c r="K107" s="122">
        <v>5.6762121877361002E-2</v>
      </c>
      <c r="L107" s="122">
        <v>-7.1810728951581526E-3</v>
      </c>
      <c r="M107" s="122">
        <v>0.31768539418081743</v>
      </c>
      <c r="N107" s="122">
        <v>-7.1810728951581526E-3</v>
      </c>
      <c r="O107" s="122">
        <v>0.31768539418081743</v>
      </c>
      <c r="P107" s="121"/>
      <c r="Q107" s="121"/>
      <c r="R107" s="121"/>
      <c r="S107" s="127"/>
    </row>
    <row r="108" spans="7:19">
      <c r="G108" s="126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7"/>
    </row>
    <row r="109" spans="7:19">
      <c r="G109" s="126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7"/>
    </row>
    <row r="110" spans="7:19">
      <c r="G110" s="126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7"/>
    </row>
    <row r="111" spans="7:19">
      <c r="G111" s="241" t="s">
        <v>80</v>
      </c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7"/>
    </row>
    <row r="112" spans="7:19">
      <c r="G112" s="126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7"/>
    </row>
    <row r="113" spans="7:19">
      <c r="G113" s="242" t="s">
        <v>81</v>
      </c>
      <c r="H113" s="239" t="s">
        <v>82</v>
      </c>
      <c r="I113" s="121" t="s">
        <v>79</v>
      </c>
      <c r="J113" s="121"/>
      <c r="K113" s="121"/>
      <c r="L113" s="121"/>
      <c r="M113" s="121"/>
      <c r="N113" s="121"/>
      <c r="O113" s="121"/>
      <c r="P113" s="121"/>
      <c r="Q113" s="121"/>
      <c r="R113" s="121"/>
      <c r="S113" s="127"/>
    </row>
    <row r="114" spans="7:19">
      <c r="G114" s="126">
        <v>1</v>
      </c>
      <c r="H114" s="121">
        <v>289.88664392508184</v>
      </c>
      <c r="I114" s="121">
        <v>-101.92964392508185</v>
      </c>
      <c r="J114" s="121"/>
      <c r="K114" s="121"/>
      <c r="L114" s="121"/>
      <c r="M114" s="121"/>
      <c r="N114" s="121"/>
      <c r="O114" s="121"/>
      <c r="P114" s="121"/>
      <c r="Q114" s="121"/>
      <c r="R114" s="121"/>
      <c r="S114" s="127"/>
    </row>
    <row r="115" spans="7:19">
      <c r="G115" s="126">
        <v>2</v>
      </c>
      <c r="H115" s="121">
        <v>541.02300473740502</v>
      </c>
      <c r="I115" s="121">
        <v>-42.151004737405003</v>
      </c>
      <c r="J115" s="121"/>
      <c r="K115" s="121"/>
      <c r="L115" s="121"/>
      <c r="M115" s="121"/>
      <c r="N115" s="121"/>
      <c r="O115" s="121"/>
      <c r="P115" s="121"/>
      <c r="Q115" s="121"/>
      <c r="R115" s="121"/>
      <c r="S115" s="127"/>
    </row>
    <row r="116" spans="7:19">
      <c r="G116" s="126">
        <v>3</v>
      </c>
      <c r="H116" s="121">
        <v>346.84866166493606</v>
      </c>
      <c r="I116" s="121">
        <v>75.556338335063913</v>
      </c>
      <c r="J116" s="121"/>
      <c r="K116" s="121"/>
      <c r="L116" s="121"/>
      <c r="M116" s="121"/>
      <c r="N116" s="121"/>
      <c r="O116" s="121"/>
      <c r="P116" s="121"/>
      <c r="Q116" s="121"/>
      <c r="R116" s="121"/>
      <c r="S116" s="127"/>
    </row>
    <row r="117" spans="7:19">
      <c r="G117" s="126">
        <v>4</v>
      </c>
      <c r="H117" s="121">
        <v>356.84752181897682</v>
      </c>
      <c r="I117" s="121">
        <v>-5.4965218189768166</v>
      </c>
      <c r="J117" s="121"/>
      <c r="K117" s="121"/>
      <c r="L117" s="121"/>
      <c r="M117" s="121"/>
      <c r="N117" s="121"/>
      <c r="O117" s="121"/>
      <c r="P117" s="121"/>
      <c r="Q117" s="121"/>
      <c r="R117" s="121"/>
      <c r="S117" s="127"/>
    </row>
    <row r="118" spans="7:19">
      <c r="G118" s="126">
        <v>5</v>
      </c>
      <c r="H118" s="121">
        <v>399.94909241312115</v>
      </c>
      <c r="I118" s="121">
        <v>34.68990758687886</v>
      </c>
      <c r="J118" s="121"/>
      <c r="K118" s="121"/>
      <c r="L118" s="121"/>
      <c r="M118" s="121"/>
      <c r="N118" s="121"/>
      <c r="O118" s="121"/>
      <c r="P118" s="121"/>
      <c r="Q118" s="121"/>
      <c r="R118" s="121"/>
      <c r="S118" s="127"/>
    </row>
    <row r="119" spans="7:19" ht="15" thickBot="1">
      <c r="G119" s="128">
        <v>6</v>
      </c>
      <c r="H119" s="122">
        <v>361.8860754404792</v>
      </c>
      <c r="I119" s="122">
        <v>39.330924559520781</v>
      </c>
      <c r="J119" s="121"/>
      <c r="K119" s="121"/>
      <c r="L119" s="121"/>
      <c r="M119" s="121"/>
      <c r="N119" s="121"/>
      <c r="O119" s="121"/>
      <c r="P119" s="121"/>
      <c r="Q119" s="121"/>
      <c r="R119" s="121"/>
      <c r="S119" s="127"/>
    </row>
    <row r="120" spans="7:19">
      <c r="G120" s="126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7"/>
    </row>
    <row r="121" spans="7:19">
      <c r="G121" s="126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7"/>
    </row>
    <row r="122" spans="7:19">
      <c r="G122" s="126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7"/>
    </row>
    <row r="123" spans="7:19">
      <c r="G123" s="126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7"/>
    </row>
    <row r="124" spans="7:19">
      <c r="G124" s="126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7"/>
    </row>
    <row r="125" spans="7:19">
      <c r="G125" s="126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7"/>
    </row>
    <row r="126" spans="7:19">
      <c r="G126" s="126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7"/>
    </row>
    <row r="127" spans="7:19">
      <c r="G127" s="126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7"/>
    </row>
    <row r="128" spans="7:19">
      <c r="G128" s="126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7"/>
    </row>
    <row r="129" spans="7:19">
      <c r="G129" s="126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7"/>
    </row>
    <row r="130" spans="7:19">
      <c r="G130" s="126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7"/>
    </row>
    <row r="131" spans="7:19">
      <c r="G131" s="126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7"/>
    </row>
    <row r="132" spans="7:19">
      <c r="G132" s="126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7"/>
    </row>
    <row r="133" spans="7:19">
      <c r="G133" s="130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2"/>
    </row>
  </sheetData>
  <mergeCells count="3">
    <mergeCell ref="P4:S13"/>
    <mergeCell ref="O50:R59"/>
    <mergeCell ref="M90:S10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4C02D-359A-4B61-8D82-E3468BBF9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ORLEN</vt:lpstr>
      <vt:lpstr>CD PROJECT</vt:lpstr>
      <vt:lpstr>LPP</vt:lpstr>
      <vt:lpstr>Key Performance Indicator (KPI)</vt:lpstr>
      <vt:lpstr>Liquidity Ratios</vt:lpstr>
      <vt:lpstr>Debt ratios</vt:lpstr>
      <vt:lpstr>Efficiency</vt:lpstr>
      <vt:lpstr>Regression -R²</vt:lpstr>
      <vt:lpstr>Correlation</vt:lpstr>
      <vt:lpstr>Correlation Matrix</vt:lpstr>
      <vt:lpstr>Benchmarking</vt:lpstr>
      <vt:lpstr>Sector Median Comparison</vt:lpstr>
      <vt:lpstr>Multiple regression</vt:lpstr>
      <vt:lpstr>ROI Sensitivity Analysis</vt:lpstr>
      <vt:lpstr>Volatility analysis</vt:lpstr>
      <vt:lpstr>Regression – Full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Włodarczyk3</dc:creator>
  <cp:lastModifiedBy>Marcin Włodarczyk3</cp:lastModifiedBy>
  <dcterms:created xsi:type="dcterms:W3CDTF">2025-11-09T19:49:59Z</dcterms:created>
  <dcterms:modified xsi:type="dcterms:W3CDTF">2025-11-12T16:13:08Z</dcterms:modified>
</cp:coreProperties>
</file>